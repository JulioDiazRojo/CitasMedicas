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lioDiazRojo\Downloads\Evidencias de Proyecto\"/>
    </mc:Choice>
  </mc:AlternateContent>
  <xr:revisionPtr revIDLastSave="0" documentId="13_ncr:1_{56F83877-B35E-434F-9FB5-4F880EAC24E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ortada" sheetId="1" r:id="rId1"/>
    <sheet name="Identificación Casos" sheetId="2" r:id="rId2"/>
    <sheet name="Control" sheetId="3" r:id="rId3"/>
    <sheet name="Datos del pla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TkaEm5pMWBAbyoXKdc8ApcZ8x5DJAoMcnveYIDiUUE="/>
    </ext>
  </extLst>
</workbook>
</file>

<file path=xl/calcChain.xml><?xml version="1.0" encoding="utf-8"?>
<calcChain xmlns="http://schemas.openxmlformats.org/spreadsheetml/2006/main">
  <c r="G39" i="3" l="1"/>
  <c r="G38" i="3"/>
  <c r="G37" i="3"/>
  <c r="G36" i="3"/>
  <c r="G41" i="3" s="1"/>
  <c r="D13" i="3"/>
  <c r="D10" i="3"/>
  <c r="D9" i="3"/>
  <c r="D8" i="3"/>
  <c r="D7" i="3"/>
  <c r="D6" i="3"/>
  <c r="D16" i="3" s="1"/>
</calcChain>
</file>

<file path=xl/sharedStrings.xml><?xml version="1.0" encoding="utf-8"?>
<sst xmlns="http://schemas.openxmlformats.org/spreadsheetml/2006/main" count="166" uniqueCount="101">
  <si>
    <t xml:space="preserve">Plan de prueba proyecto 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</si>
  <si>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</si>
  <si>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</si>
  <si>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</si>
  <si>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</si>
  <si>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</si>
  <si>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</si>
  <si>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</si>
  <si>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</si>
  <si>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</si>
  <si>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</si>
  <si>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</si>
  <si>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MTC_010</t>
  </si>
  <si>
    <t>Registro de Nuevo Paciente</t>
  </si>
  <si>
    <t>Funcional</t>
  </si>
  <si>
    <t>El usuario se crea en BD, se loguea y redirige al index mostrando su nombre.</t>
  </si>
  <si>
    <t>Se creó el usuario y redirigió correctamente.</t>
  </si>
  <si>
    <t>Autenticación</t>
  </si>
  <si>
    <t>OK</t>
  </si>
  <si>
    <t>SI</t>
  </si>
  <si>
    <t>Validar que no permita RUT duplicados.</t>
  </si>
  <si>
    <t>Julio Díaz</t>
  </si>
  <si>
    <t>Baja</t>
  </si>
  <si>
    <t>MTC_020</t>
  </si>
  <si>
    <t>Login de Médico</t>
  </si>
  <si>
    <t>Al ingresara credenciales de médico, redirige a la vista de "Mi Agenda" y no al home de paciente.</t>
  </si>
  <si>
    <t>Redirección correcta según rol "Médico".</t>
  </si>
  <si>
    <t>Verificar con usuario activo e inactivo.</t>
  </si>
  <si>
    <t>MTC_030</t>
  </si>
  <si>
    <t>Agendar Cita - Flujo Completo</t>
  </si>
  <si>
    <t>El paciente completa los 3 pasos y la cita queda guardada como "Pendiente" en la BD.</t>
  </si>
  <si>
    <t>La cita ID #xx se generó con estado Pendiente.</t>
  </si>
  <si>
    <t>Citas</t>
  </si>
  <si>
    <t>Prueba crítica del negocio.</t>
  </si>
  <si>
    <t>Alta</t>
  </si>
  <si>
    <t>MTC_040</t>
  </si>
  <si>
    <t>Validación Fecha Pasada</t>
  </si>
  <si>
    <t>El sistema muestra error al intentar agendar una cita en una fecha anterior a hoy.</t>
  </si>
  <si>
    <t>Mensaje de error mostrado, no deja avanzar.</t>
  </si>
  <si>
    <t>Se valida en el paso 2.</t>
  </si>
  <si>
    <t>MTC_050</t>
  </si>
  <si>
    <t>Filtro de Doctores por Sucursal</t>
  </si>
  <si>
    <t>Al elegir una sucursal, solo deben aparecer médicos asociados a esa sucursal.</t>
  </si>
  <si>
    <t>El combobox de médicos se actualizó correctamente.</t>
  </si>
  <si>
    <t>Requiere JavaScript habilitado.</t>
  </si>
  <si>
    <t>Media</t>
  </si>
  <si>
    <t>MTC_060</t>
  </si>
  <si>
    <t>Visualización Mis Citas</t>
  </si>
  <si>
    <t>La tabla muestra la cita recién creada con el botón "Modificar" habilitado.</t>
  </si>
  <si>
    <t>La cita aparece en el listado correctamente.</t>
  </si>
  <si>
    <t>Paciente</t>
  </si>
  <si>
    <t>Verificar formato de fecha DD-MM-AAAA.</t>
  </si>
  <si>
    <t>MTC_070</t>
  </si>
  <si>
    <t>Dashboard Médico</t>
  </si>
  <si>
    <t>Al ingresar el médico, los contadores de "Hoy" y "Pendientes" coinciden con las citas en BD.</t>
  </si>
  <si>
    <t>Los números coinciden con la tabla mostrada.</t>
  </si>
  <si>
    <t>Médico</t>
  </si>
  <si>
    <t>NO</t>
  </si>
  <si>
    <t>Verificar que excluya citas canceladas.</t>
  </si>
  <si>
    <t>MTC_080</t>
  </si>
  <si>
    <t>Atender Cita</t>
  </si>
  <si>
    <t>Al guardar el diagnóstico, la cita pasa de "Pendiente" a "Realizada" automáticamente.</t>
  </si>
  <si>
    <t>Estado actualizado y redirección a ficha.</t>
  </si>
  <si>
    <t>Flujo principal del doctor</t>
  </si>
  <si>
    <t>MTC_090</t>
  </si>
  <si>
    <t>Visualización Historial Clínico</t>
  </si>
  <si>
    <t>El paciente puede ver el diagnóstico y tratamiento ingresado por el médico en su perfil.</t>
  </si>
  <si>
    <t>El cordeón muestra el diagnóstico correcto.</t>
  </si>
  <si>
    <t>Validar privacidad (solo el propio paciente).</t>
  </si>
  <si>
    <t>MTC_0100</t>
  </si>
  <si>
    <t>Generación Receta PDF</t>
  </si>
  <si>
    <t>Al hacer clic en descargar, se genera un archivo PDF legible con los datos de la receta.</t>
  </si>
  <si>
    <t>Archivo descargado y se abre correctamente.</t>
  </si>
  <si>
    <t>Reportes</t>
  </si>
  <si>
    <t>Librería WeasyPrint debe estar instalada.</t>
  </si>
  <si>
    <t>MTC_0110</t>
  </si>
  <si>
    <t>Seguridad de Acceso</t>
  </si>
  <si>
    <t>No Funcional</t>
  </si>
  <si>
    <t>Un paciente no puede acceder a " /medico/atender/ID " escribiendo la URL directamente.</t>
  </si>
  <si>
    <t>Redirecciòn al Home con mensaje de error.</t>
  </si>
  <si>
    <t>Seguridad</t>
  </si>
  <si>
    <t>Prueba de control de acceso.</t>
  </si>
  <si>
    <t>Casos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</si>
  <si>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</si>
  <si>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</si>
  <si>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</si>
  <si>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</si>
  <si>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</si>
  <si>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</si>
  <si>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</si>
  <si>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Nombre alumno 2</t>
  </si>
  <si>
    <t>Nombre alumno 3</t>
  </si>
  <si>
    <t>Nombre alumno 4</t>
  </si>
  <si>
    <t>Total Casos</t>
  </si>
  <si>
    <t>UAT</t>
  </si>
  <si>
    <t>Código</t>
  </si>
  <si>
    <t>End to End</t>
  </si>
  <si>
    <t>Stress</t>
  </si>
  <si>
    <t>Rendimiento</t>
  </si>
  <si>
    <t>Carga</t>
  </si>
  <si>
    <t>Integrantes:
Julio Díaz, Jefe de proyecto
Julio Díaz, Analista QA
Julio Díaz, Tester QA
Julio Díaz, Tester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</si>
</sst>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24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Inconsolata"/>
    </font>
    <font>
      <sz val="20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3" borderId="18" xfId="0" quotePrefix="1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8" xfId="0" applyFont="1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0" xfId="0" applyFont="1"/>
    <xf numFmtId="1" fontId="1" fillId="4" borderId="21" xfId="0" applyNumberFormat="1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wrapText="1"/>
    </xf>
    <xf numFmtId="0" fontId="1" fillId="3" borderId="1" xfId="0" applyFont="1" applyFill="1" applyBorder="1"/>
    <xf numFmtId="0" fontId="4" fillId="4" borderId="2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1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21" xfId="0" applyFont="1" applyFill="1" applyBorder="1"/>
    <xf numFmtId="0" fontId="7" fillId="0" borderId="0" xfId="0" applyFont="1"/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2" borderId="7" xfId="0" applyFont="1" applyFill="1" applyBorder="1" applyAlignment="1">
      <alignment horizontal="left" vertical="top" wrapText="1"/>
    </xf>
    <xf numFmtId="0" fontId="1" fillId="2" borderId="25" xfId="0" applyFont="1" applyFill="1" applyBorder="1"/>
    <xf numFmtId="0" fontId="3" fillId="0" borderId="26" xfId="0" applyFont="1" applyBorder="1"/>
    <xf numFmtId="0" fontId="1" fillId="2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1" fillId="2" borderId="25" xfId="0" applyFont="1" applyFill="1" applyBorder="1" applyAlignment="1">
      <alignment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9" fontId="6" fillId="2" borderId="19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L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D6-460C-8396-46A0B954A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154879"/>
        <c:axId val="426929827"/>
      </c:barChart>
      <c:catAx>
        <c:axId val="12541548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26929827"/>
        <c:crosses val="autoZero"/>
        <c:auto val="1"/>
        <c:lblAlgn val="ctr"/>
        <c:lblOffset val="100"/>
        <c:noMultiLvlLbl val="1"/>
      </c:catAx>
      <c:valAx>
        <c:axId val="426929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254154879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L"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A44-4CA8-8BB5-F6B718BAA017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A44-4CA8-8BB5-F6B718BAA017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A44-4CA8-8BB5-F6B718BAA017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A44-4CA8-8BB5-F6B718BAA017}"/>
              </c:ext>
            </c:extLst>
          </c:dPt>
          <c:cat>
            <c:strRef>
              <c:f>Control!$E$36:$E$39</c:f>
              <c:strCache>
                <c:ptCount val="4"/>
                <c:pt idx="0">
                  <c:v>Julio Díaz</c:v>
                </c:pt>
                <c:pt idx="1">
                  <c:v>Nombre alumno 2</c:v>
                </c:pt>
                <c:pt idx="2">
                  <c:v>Nombre alumno 3</c:v>
                </c:pt>
                <c:pt idx="3">
                  <c:v>Nombre alumno 4</c:v>
                </c:pt>
              </c:strCache>
            </c:strRef>
          </c:cat>
          <c:val>
            <c:numRef>
              <c:f>Control!$F$36:$F$39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A44-4CA8-8BB5-F6B718BAA017}"/>
            </c:ext>
          </c:extLst>
        </c:ser>
        <c:ser>
          <c:idx val="1"/>
          <c:order val="1"/>
          <c:invertIfNegative val="1"/>
          <c:cat>
            <c:strRef>
              <c:f>Control!$E$36:$E$39</c:f>
              <c:strCache>
                <c:ptCount val="4"/>
                <c:pt idx="0">
                  <c:v>Julio Díaz</c:v>
                </c:pt>
                <c:pt idx="1">
                  <c:v>Nombre alumno 2</c:v>
                </c:pt>
                <c:pt idx="2">
                  <c:v>Nombre alumno 3</c:v>
                </c:pt>
                <c:pt idx="3">
                  <c:v>Nombre alumno 4</c:v>
                </c:pt>
              </c:strCache>
            </c:strRef>
          </c:cat>
          <c:val>
            <c:numRef>
              <c:f>Control!$G$36:$G$39</c:f>
              <c:numCache>
                <c:formatCode>General</c:formatCode>
                <c:ptCount val="4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44-4CA8-8BB5-F6B718BAA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42168"/>
        <c:axId val="461336973"/>
      </c:barChart>
      <c:catAx>
        <c:axId val="47342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61336973"/>
        <c:crosses val="autoZero"/>
        <c:auto val="1"/>
        <c:lblAlgn val="ctr"/>
        <c:lblOffset val="100"/>
        <c:noMultiLvlLbl val="1"/>
      </c:catAx>
      <c:valAx>
        <c:axId val="461336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73421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3</xdr:row>
      <xdr:rowOff>28575</xdr:rowOff>
    </xdr:from>
    <xdr:ext cx="4314825" cy="2714625"/>
    <xdr:graphicFrame macro="">
      <xdr:nvGraphicFramePr>
        <xdr:cNvPr id="251149020" name="Chart 1" title="Gráfico">
          <a:extLst>
            <a:ext uri="{FF2B5EF4-FFF2-40B4-BE49-F238E27FC236}">
              <a16:creationId xmlns:a16="http://schemas.microsoft.com/office/drawing/2014/main" id="{00000000-0008-0000-0200-0000DC3A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 macro="">
      <xdr:nvGraphicFramePr>
        <xdr:cNvPr id="518921038" name="Chart 2" title="Gráfico">
          <a:extLst>
            <a:ext uri="{FF2B5EF4-FFF2-40B4-BE49-F238E27FC236}">
              <a16:creationId xmlns:a16="http://schemas.microsoft.com/office/drawing/2014/main" id="{00000000-0008-0000-0200-00004E1B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7" workbookViewId="0">
      <selection activeCell="Q26" sqref="Q26"/>
    </sheetView>
  </sheetViews>
  <sheetFormatPr baseColWidth="10" defaultColWidth="14.42578125" defaultRowHeight="15" customHeight="1" x14ac:dyDescent="0.25"/>
  <cols>
    <col min="1" max="3" width="3.28515625" customWidth="1"/>
    <col min="4" max="10" width="9.42578125" customWidth="1"/>
    <col min="11" max="12" width="3.28515625" customWidth="1"/>
    <col min="13" max="25" width="10.7109375" customWidth="1"/>
  </cols>
  <sheetData>
    <row r="1" spans="1:26" ht="14.25" customHeight="1" x14ac:dyDescent="0.25">
      <c r="A1" s="1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5"/>
      <c r="C6" s="5"/>
      <c r="D6" s="1"/>
      <c r="E6" s="34" t="s">
        <v>0</v>
      </c>
      <c r="F6" s="35"/>
      <c r="G6" s="35"/>
      <c r="H6" s="35"/>
      <c r="I6" s="36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5"/>
      <c r="C7" s="5"/>
      <c r="D7" s="1"/>
      <c r="E7" s="37"/>
      <c r="F7" s="38"/>
      <c r="G7" s="38"/>
      <c r="H7" s="38"/>
      <c r="I7" s="39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5"/>
      <c r="C8" s="5"/>
      <c r="D8" s="1"/>
      <c r="E8" s="37"/>
      <c r="F8" s="38"/>
      <c r="G8" s="38"/>
      <c r="H8" s="38"/>
      <c r="I8" s="39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5"/>
      <c r="C9" s="5"/>
      <c r="D9" s="1"/>
      <c r="E9" s="37"/>
      <c r="F9" s="38"/>
      <c r="G9" s="38"/>
      <c r="H9" s="38"/>
      <c r="I9" s="39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5"/>
      <c r="C10" s="5"/>
      <c r="D10" s="1"/>
      <c r="E10" s="40"/>
      <c r="F10" s="41"/>
      <c r="G10" s="41"/>
      <c r="H10" s="41"/>
      <c r="I10" s="42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5"/>
      <c r="C35" s="5"/>
      <c r="D35" s="1"/>
      <c r="E35" s="43" t="s">
        <v>100</v>
      </c>
      <c r="F35" s="35"/>
      <c r="G35" s="35"/>
      <c r="H35" s="35"/>
      <c r="I35" s="36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5"/>
      <c r="C36" s="5"/>
      <c r="D36" s="1"/>
      <c r="E36" s="37"/>
      <c r="F36" s="38"/>
      <c r="G36" s="38"/>
      <c r="H36" s="38"/>
      <c r="I36" s="39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5"/>
      <c r="C37" s="5"/>
      <c r="D37" s="1"/>
      <c r="E37" s="37"/>
      <c r="F37" s="38"/>
      <c r="G37" s="38"/>
      <c r="H37" s="38"/>
      <c r="I37" s="39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5"/>
      <c r="C38" s="5"/>
      <c r="D38" s="1"/>
      <c r="E38" s="37"/>
      <c r="F38" s="38"/>
      <c r="G38" s="38"/>
      <c r="H38" s="38"/>
      <c r="I38" s="39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5"/>
      <c r="C39" s="5"/>
      <c r="D39" s="1"/>
      <c r="E39" s="40"/>
      <c r="F39" s="41"/>
      <c r="G39" s="41"/>
      <c r="H39" s="41"/>
      <c r="I39" s="42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" workbookViewId="0"/>
  </sheetViews>
  <sheetFormatPr baseColWidth="10" defaultColWidth="14.42578125" defaultRowHeight="15" customHeight="1" x14ac:dyDescent="0.25"/>
  <cols>
    <col min="1" max="1" width="14.42578125" customWidth="1"/>
    <col min="2" max="2" width="24" customWidth="1"/>
    <col min="3" max="3" width="14.42578125" customWidth="1"/>
    <col min="4" max="5" width="18.28515625" customWidth="1"/>
    <col min="6" max="6" width="24.7109375" customWidth="1"/>
    <col min="7" max="7" width="14.42578125" customWidth="1"/>
    <col min="8" max="8" width="24.140625" customWidth="1"/>
    <col min="9" max="9" width="23.28515625" customWidth="1"/>
    <col min="10" max="10" width="22.42578125" customWidth="1"/>
    <col min="11" max="26" width="14.42578125" customWidth="1"/>
  </cols>
  <sheetData>
    <row r="1" spans="1:26" x14ac:dyDescent="0.2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2" t="s">
        <v>6</v>
      </c>
      <c r="G1" s="12" t="s">
        <v>7</v>
      </c>
      <c r="H1" s="13" t="s">
        <v>8</v>
      </c>
      <c r="I1" s="13" t="s">
        <v>9</v>
      </c>
      <c r="J1" s="14" t="s">
        <v>10</v>
      </c>
      <c r="K1" s="15" t="s">
        <v>11</v>
      </c>
      <c r="L1" s="16"/>
    </row>
    <row r="2" spans="1:26" ht="75" x14ac:dyDescent="0.25">
      <c r="A2" s="17" t="s">
        <v>12</v>
      </c>
      <c r="B2" s="18" t="s">
        <v>13</v>
      </c>
      <c r="C2" s="19" t="s">
        <v>14</v>
      </c>
      <c r="D2" s="19" t="s">
        <v>15</v>
      </c>
      <c r="E2" s="19" t="s">
        <v>16</v>
      </c>
      <c r="F2" s="19" t="s">
        <v>17</v>
      </c>
      <c r="G2" s="19" t="s">
        <v>18</v>
      </c>
      <c r="H2" s="19" t="s">
        <v>19</v>
      </c>
      <c r="I2" s="20" t="s">
        <v>20</v>
      </c>
      <c r="J2" s="21" t="s">
        <v>21</v>
      </c>
      <c r="K2" s="22" t="s">
        <v>22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90" x14ac:dyDescent="0.25">
      <c r="A3" s="17" t="s">
        <v>23</v>
      </c>
      <c r="B3" s="18" t="s">
        <v>24</v>
      </c>
      <c r="C3" s="19" t="s">
        <v>14</v>
      </c>
      <c r="D3" s="19" t="s">
        <v>25</v>
      </c>
      <c r="E3" s="19" t="s">
        <v>26</v>
      </c>
      <c r="F3" s="19" t="s">
        <v>17</v>
      </c>
      <c r="G3" s="19" t="s">
        <v>18</v>
      </c>
      <c r="H3" s="19" t="s">
        <v>19</v>
      </c>
      <c r="I3" s="20" t="s">
        <v>27</v>
      </c>
      <c r="J3" s="21" t="s">
        <v>21</v>
      </c>
      <c r="K3" s="22" t="s">
        <v>22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90" x14ac:dyDescent="0.25">
      <c r="A4" s="17" t="s">
        <v>28</v>
      </c>
      <c r="B4" s="18" t="s">
        <v>29</v>
      </c>
      <c r="C4" s="19" t="s">
        <v>14</v>
      </c>
      <c r="D4" s="19" t="s">
        <v>30</v>
      </c>
      <c r="E4" s="19" t="s">
        <v>31</v>
      </c>
      <c r="F4" s="19" t="s">
        <v>32</v>
      </c>
      <c r="G4" s="19" t="s">
        <v>18</v>
      </c>
      <c r="H4" s="19" t="s">
        <v>19</v>
      </c>
      <c r="I4" s="20" t="s">
        <v>33</v>
      </c>
      <c r="J4" s="21" t="s">
        <v>21</v>
      </c>
      <c r="K4" s="22" t="s">
        <v>34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75" x14ac:dyDescent="0.25">
      <c r="A5" s="17" t="s">
        <v>35</v>
      </c>
      <c r="B5" s="18" t="s">
        <v>36</v>
      </c>
      <c r="C5" s="19" t="s">
        <v>14</v>
      </c>
      <c r="D5" s="19" t="s">
        <v>37</v>
      </c>
      <c r="E5" s="19" t="s">
        <v>38</v>
      </c>
      <c r="F5" s="19" t="s">
        <v>32</v>
      </c>
      <c r="G5" s="19" t="s">
        <v>18</v>
      </c>
      <c r="H5" s="19" t="s">
        <v>19</v>
      </c>
      <c r="I5" s="20" t="s">
        <v>39</v>
      </c>
      <c r="J5" s="21" t="s">
        <v>21</v>
      </c>
      <c r="K5" s="22" t="s">
        <v>22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75" x14ac:dyDescent="0.25">
      <c r="A6" s="17" t="s">
        <v>40</v>
      </c>
      <c r="B6" s="18" t="s">
        <v>41</v>
      </c>
      <c r="C6" s="19" t="s">
        <v>14</v>
      </c>
      <c r="D6" s="18" t="s">
        <v>42</v>
      </c>
      <c r="E6" s="18" t="s">
        <v>43</v>
      </c>
      <c r="F6" s="19" t="s">
        <v>32</v>
      </c>
      <c r="G6" s="19" t="s">
        <v>18</v>
      </c>
      <c r="H6" s="19" t="s">
        <v>19</v>
      </c>
      <c r="I6" s="20" t="s">
        <v>44</v>
      </c>
      <c r="J6" s="21" t="s">
        <v>21</v>
      </c>
      <c r="K6" s="22" t="s">
        <v>45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75" x14ac:dyDescent="0.25">
      <c r="A7" s="17" t="s">
        <v>46</v>
      </c>
      <c r="B7" s="18" t="s">
        <v>47</v>
      </c>
      <c r="C7" s="19" t="s">
        <v>14</v>
      </c>
      <c r="D7" s="18" t="s">
        <v>48</v>
      </c>
      <c r="E7" s="18" t="s">
        <v>49</v>
      </c>
      <c r="F7" s="19" t="s">
        <v>50</v>
      </c>
      <c r="G7" s="19" t="s">
        <v>18</v>
      </c>
      <c r="H7" s="19" t="s">
        <v>19</v>
      </c>
      <c r="I7" s="20" t="s">
        <v>51</v>
      </c>
      <c r="J7" s="21" t="s">
        <v>21</v>
      </c>
      <c r="K7" s="22" t="s">
        <v>22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05" x14ac:dyDescent="0.25">
      <c r="A8" s="17" t="s">
        <v>52</v>
      </c>
      <c r="B8" s="18" t="s">
        <v>53</v>
      </c>
      <c r="C8" s="19" t="s">
        <v>14</v>
      </c>
      <c r="D8" s="19" t="s">
        <v>54</v>
      </c>
      <c r="E8" s="19" t="s">
        <v>55</v>
      </c>
      <c r="F8" s="19" t="s">
        <v>56</v>
      </c>
      <c r="G8" s="19" t="s">
        <v>18</v>
      </c>
      <c r="H8" s="19" t="s">
        <v>57</v>
      </c>
      <c r="I8" s="20" t="s">
        <v>58</v>
      </c>
      <c r="J8" s="21" t="s">
        <v>21</v>
      </c>
      <c r="K8" s="22" t="s">
        <v>45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90" x14ac:dyDescent="0.25">
      <c r="A9" s="17" t="s">
        <v>59</v>
      </c>
      <c r="B9" s="18" t="s">
        <v>60</v>
      </c>
      <c r="C9" s="19" t="s">
        <v>14</v>
      </c>
      <c r="D9" s="19" t="s">
        <v>61</v>
      </c>
      <c r="E9" s="19" t="s">
        <v>62</v>
      </c>
      <c r="F9" s="19" t="s">
        <v>56</v>
      </c>
      <c r="G9" s="19" t="s">
        <v>18</v>
      </c>
      <c r="H9" s="19" t="s">
        <v>57</v>
      </c>
      <c r="I9" s="20" t="s">
        <v>63</v>
      </c>
      <c r="J9" s="21" t="s">
        <v>21</v>
      </c>
      <c r="K9" s="22" t="s">
        <v>34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90" x14ac:dyDescent="0.25">
      <c r="A10" s="17" t="s">
        <v>64</v>
      </c>
      <c r="B10" s="18" t="s">
        <v>65</v>
      </c>
      <c r="C10" s="19" t="s">
        <v>14</v>
      </c>
      <c r="D10" s="19" t="s">
        <v>66</v>
      </c>
      <c r="E10" s="19" t="s">
        <v>67</v>
      </c>
      <c r="F10" s="19" t="s">
        <v>50</v>
      </c>
      <c r="G10" s="19" t="s">
        <v>18</v>
      </c>
      <c r="H10" s="19" t="s">
        <v>19</v>
      </c>
      <c r="I10" s="20" t="s">
        <v>68</v>
      </c>
      <c r="J10" s="21" t="s">
        <v>21</v>
      </c>
      <c r="K10" s="22" t="s">
        <v>45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75" x14ac:dyDescent="0.25">
      <c r="A11" s="17" t="s">
        <v>69</v>
      </c>
      <c r="B11" s="18" t="s">
        <v>70</v>
      </c>
      <c r="C11" s="19" t="s">
        <v>14</v>
      </c>
      <c r="D11" s="19" t="s">
        <v>71</v>
      </c>
      <c r="E11" s="19" t="s">
        <v>72</v>
      </c>
      <c r="F11" s="19" t="s">
        <v>73</v>
      </c>
      <c r="G11" s="19" t="s">
        <v>18</v>
      </c>
      <c r="H11" s="19" t="s">
        <v>57</v>
      </c>
      <c r="I11" s="24" t="s">
        <v>74</v>
      </c>
      <c r="J11" s="21" t="s">
        <v>21</v>
      </c>
      <c r="K11" s="22" t="s">
        <v>45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75" x14ac:dyDescent="0.25">
      <c r="A12" s="17" t="s">
        <v>75</v>
      </c>
      <c r="B12" s="18" t="s">
        <v>76</v>
      </c>
      <c r="C12" s="19" t="s">
        <v>77</v>
      </c>
      <c r="D12" s="19" t="s">
        <v>78</v>
      </c>
      <c r="E12" s="19" t="s">
        <v>79</v>
      </c>
      <c r="F12" s="19" t="s">
        <v>80</v>
      </c>
      <c r="G12" s="19" t="s">
        <v>18</v>
      </c>
      <c r="H12" s="19" t="s">
        <v>19</v>
      </c>
      <c r="I12" s="24" t="s">
        <v>81</v>
      </c>
      <c r="J12" s="21" t="s">
        <v>21</v>
      </c>
      <c r="K12" s="22" t="s">
        <v>22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'Datos del plan'!$D$1:$D$2</xm:f>
          </x14:formula1>
          <xm:sqref>H2:H12</xm:sqref>
        </x14:dataValidation>
        <x14:dataValidation type="list" allowBlank="1" showErrorMessage="1" xr:uid="{00000000-0002-0000-0100-000001000000}">
          <x14:formula1>
            <xm:f>'Datos del plan'!$B$1:$B$5</xm:f>
          </x14:formula1>
          <xm:sqref>G2:G12</xm:sqref>
        </x14:dataValidation>
        <x14:dataValidation type="list" allowBlank="1" showErrorMessage="1" xr:uid="{00000000-0002-0000-0100-000002000000}">
          <x14:formula1>
            <xm:f>'Datos del plan'!$C$1:$C$3</xm:f>
          </x14:formula1>
          <xm:sqref>K2:K12</xm:sqref>
        </x14:dataValidation>
        <x14:dataValidation type="list" allowBlank="1" showErrorMessage="1" xr:uid="{00000000-0002-0000-0100-000003000000}">
          <x14:formula1>
            <xm:f>'Datos del plan'!$A$1:$A$8</xm:f>
          </x14:formula1>
          <xm:sqref>C2:C12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G36" sqref="G36"/>
    </sheetView>
  </sheetViews>
  <sheetFormatPr baseColWidth="10" defaultColWidth="14.42578125" defaultRowHeight="15" customHeight="1" x14ac:dyDescent="0.25"/>
  <cols>
    <col min="1" max="2" width="11.5703125" customWidth="1"/>
    <col min="3" max="3" width="16.140625" customWidth="1"/>
    <col min="4" max="4" width="11.5703125" customWidth="1"/>
    <col min="5" max="5" width="4.85546875" customWidth="1"/>
    <col min="6" max="6" width="17" customWidth="1"/>
    <col min="7" max="11" width="10.7109375" customWidth="1"/>
    <col min="12" max="12" width="5.42578125" customWidth="1"/>
    <col min="13" max="26" width="10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spans="1:26" ht="14.25" customHeight="1" x14ac:dyDescent="0.25">
      <c r="A2" s="1"/>
      <c r="B2" s="25"/>
      <c r="C2" s="25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spans="1:26" ht="14.25" customHeight="1" x14ac:dyDescent="0.25">
      <c r="A3" s="1"/>
      <c r="B3" s="25"/>
      <c r="C3" s="25"/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spans="1:26" ht="14.25" customHeight="1" x14ac:dyDescent="0.25">
      <c r="A4" s="1"/>
      <c r="B4" s="25"/>
      <c r="C4" s="25"/>
      <c r="D4" s="2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spans="1:26" ht="14.2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6"/>
      <c r="Q5" s="1"/>
      <c r="R5" s="1"/>
      <c r="Z5" s="1"/>
    </row>
    <row r="6" spans="1:26" ht="14.25" customHeight="1" x14ac:dyDescent="0.4">
      <c r="A6" s="1"/>
      <c r="B6" s="46" t="s">
        <v>82</v>
      </c>
      <c r="C6" s="27" t="s">
        <v>18</v>
      </c>
      <c r="D6" s="28">
        <f>COUNTIF('Identificación Casos'!G2:G12,Control!C6)</f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6"/>
      <c r="Q6" s="1"/>
      <c r="R6" s="1"/>
      <c r="Z6" s="1"/>
    </row>
    <row r="7" spans="1:26" ht="14.25" customHeight="1" x14ac:dyDescent="0.25">
      <c r="A7" s="1"/>
      <c r="B7" s="47"/>
      <c r="C7" s="27" t="s">
        <v>83</v>
      </c>
      <c r="D7" s="28">
        <f>COUNTIF('Identificación Casos'!G2:G12,Control!C7)</f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spans="1:26" ht="14.25" customHeight="1" x14ac:dyDescent="0.25">
      <c r="A8" s="1"/>
      <c r="B8" s="47"/>
      <c r="C8" s="27" t="s">
        <v>84</v>
      </c>
      <c r="D8" s="28">
        <f>COUNTIF('Identificación Casos'!$G$2:G36,C8)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spans="1:26" ht="14.25" customHeight="1" x14ac:dyDescent="0.4">
      <c r="A9" s="1"/>
      <c r="B9" s="47"/>
      <c r="C9" s="27" t="s">
        <v>85</v>
      </c>
      <c r="D9" s="28">
        <f>COUNTIF('Identificación Casos'!$G$2:G37,C9)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26"/>
      <c r="P9" s="1"/>
      <c r="Q9" s="1"/>
      <c r="R9" s="1"/>
      <c r="Z9" s="1"/>
    </row>
    <row r="10" spans="1:26" ht="14.25" customHeight="1" x14ac:dyDescent="0.25">
      <c r="A10" s="1"/>
      <c r="B10" s="48"/>
      <c r="C10" s="27" t="s">
        <v>86</v>
      </c>
      <c r="D10" s="28">
        <f>COUNTIF('Identificación Casos'!$G$2:G38,C10)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spans="1:26" ht="14.25" customHeight="1" x14ac:dyDescent="0.25">
      <c r="A11" s="1"/>
      <c r="B11" s="29"/>
      <c r="C11" s="29"/>
      <c r="D11" s="3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spans="1:26" ht="14.25" customHeight="1" x14ac:dyDescent="0.25">
      <c r="A12" s="1"/>
      <c r="B12" s="29"/>
      <c r="C12" s="29"/>
      <c r="D12" s="3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spans="1:26" ht="14.25" customHeight="1" x14ac:dyDescent="0.25">
      <c r="A13" s="1"/>
      <c r="B13" s="49" t="s">
        <v>87</v>
      </c>
      <c r="C13" s="45"/>
      <c r="D13" s="28">
        <f>COUNTIF('Identificación Casos'!A2:A34,"*")</f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spans="1:26" ht="14.25" customHeight="1" x14ac:dyDescent="0.25">
      <c r="A14" s="1"/>
      <c r="B14" s="29"/>
      <c r="C14" s="29"/>
      <c r="D14" s="2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spans="1:26" ht="14.25" customHeight="1" x14ac:dyDescent="0.25">
      <c r="A15" s="1"/>
      <c r="B15" s="29"/>
      <c r="C15" s="29"/>
      <c r="D15" s="2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spans="1:26" ht="14.25" customHeight="1" x14ac:dyDescent="0.25">
      <c r="A16" s="1"/>
      <c r="B16" s="50" t="s">
        <v>88</v>
      </c>
      <c r="C16" s="51"/>
      <c r="D16" s="54">
        <f>SUM(D6+D7+D9+D10)/D13</f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spans="1:26" ht="14.25" customHeight="1" x14ac:dyDescent="0.25">
      <c r="A17" s="1"/>
      <c r="B17" s="52"/>
      <c r="C17" s="53"/>
      <c r="D17" s="4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5"/>
      <c r="N20" s="36"/>
      <c r="O20" s="1"/>
      <c r="P20" s="1"/>
      <c r="Q20" s="1"/>
      <c r="R20" s="1"/>
      <c r="Z20" s="1"/>
    </row>
    <row r="21" spans="1:26" ht="14.25" customHeight="1" x14ac:dyDescent="0.4">
      <c r="A21" s="1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40"/>
      <c r="N21" s="42"/>
      <c r="O21" s="1"/>
      <c r="P21" s="1"/>
      <c r="Q21" s="1"/>
      <c r="R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spans="1:26" ht="14.25" customHeight="1" x14ac:dyDescent="0.25">
      <c r="A24" s="1"/>
      <c r="D24" s="1"/>
      <c r="E24" s="1"/>
      <c r="F24" s="1"/>
      <c r="G24" s="1"/>
      <c r="H24" s="1"/>
      <c r="I24" s="1"/>
      <c r="J24" s="1"/>
      <c r="R24" s="1"/>
    </row>
    <row r="25" spans="1:26" ht="14.25" customHeight="1" x14ac:dyDescent="0.25">
      <c r="A25" s="1"/>
      <c r="D25" s="1"/>
      <c r="E25" s="1"/>
      <c r="F25" s="1"/>
      <c r="G25" s="1"/>
      <c r="H25" s="1"/>
      <c r="I25" s="1"/>
      <c r="J25" s="1"/>
      <c r="R25" s="1"/>
    </row>
    <row r="26" spans="1:26" ht="14.25" customHeight="1" x14ac:dyDescent="0.25">
      <c r="A26" s="1"/>
      <c r="D26" s="1"/>
      <c r="E26" s="1"/>
      <c r="F26" s="1"/>
      <c r="G26" s="1"/>
      <c r="H26" s="1"/>
      <c r="I26" s="1"/>
      <c r="J26" s="1"/>
      <c r="R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56" t="s">
        <v>89</v>
      </c>
      <c r="C36" s="57"/>
      <c r="D36" s="51"/>
      <c r="E36" s="44" t="s">
        <v>21</v>
      </c>
      <c r="F36" s="45"/>
      <c r="G36" s="31">
        <f>COUNTIF('Identificación Casos'!J2:J1002,E36)</f>
        <v>11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58"/>
      <c r="C37" s="38"/>
      <c r="D37" s="59"/>
      <c r="E37" s="44" t="s">
        <v>90</v>
      </c>
      <c r="F37" s="45"/>
      <c r="G37" s="31">
        <f>COUNTIF('Identificación Casos'!J3:J1003,E37)</f>
        <v>0</v>
      </c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58"/>
      <c r="C38" s="38"/>
      <c r="D38" s="59"/>
      <c r="E38" s="44" t="s">
        <v>91</v>
      </c>
      <c r="F38" s="45"/>
      <c r="G38" s="31">
        <f>COUNTIF('Identificación Casos'!J4:J1004,E38)</f>
        <v>0</v>
      </c>
      <c r="H38" s="16"/>
      <c r="I38" s="16"/>
      <c r="J38" s="16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52"/>
      <c r="C39" s="60"/>
      <c r="D39" s="53"/>
      <c r="E39" s="44" t="s">
        <v>92</v>
      </c>
      <c r="F39" s="45"/>
      <c r="G39" s="32">
        <f>COUNTIF('Identificación Casos'!J5:J1005,E39)</f>
        <v>0</v>
      </c>
      <c r="H39" s="16"/>
      <c r="I39" s="16"/>
      <c r="J39" s="16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H40" s="16"/>
      <c r="I40" s="16"/>
      <c r="J40" s="1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F41" s="33" t="s">
        <v>93</v>
      </c>
      <c r="G41" s="16">
        <f>SUM(G36:G39)</f>
        <v>11</v>
      </c>
      <c r="H41" s="16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6"/>
      <c r="I42" s="1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M20:N21"/>
    <mergeCell ref="B36:D39"/>
    <mergeCell ref="E36:F36"/>
    <mergeCell ref="E39:F39"/>
    <mergeCell ref="E37:F37"/>
    <mergeCell ref="E38:F38"/>
    <mergeCell ref="B6:B10"/>
    <mergeCell ref="B13:C13"/>
    <mergeCell ref="B16:C17"/>
    <mergeCell ref="D16:D1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12.28515625" customWidth="1"/>
    <col min="2" max="2" width="12.42578125" customWidth="1"/>
    <col min="3" max="3" width="6.28515625" customWidth="1"/>
    <col min="4" max="6" width="10.7109375" customWidth="1"/>
  </cols>
  <sheetData>
    <row r="1" spans="1:4" ht="14.25" customHeight="1" x14ac:dyDescent="0.25">
      <c r="A1" s="16" t="s">
        <v>14</v>
      </c>
      <c r="B1" s="16" t="s">
        <v>18</v>
      </c>
      <c r="C1" s="33" t="s">
        <v>22</v>
      </c>
      <c r="D1" s="33" t="s">
        <v>19</v>
      </c>
    </row>
    <row r="2" spans="1:4" ht="14.25" customHeight="1" x14ac:dyDescent="0.25">
      <c r="A2" s="16" t="s">
        <v>77</v>
      </c>
      <c r="B2" s="16" t="s">
        <v>83</v>
      </c>
      <c r="C2" s="33" t="s">
        <v>45</v>
      </c>
      <c r="D2" s="33" t="s">
        <v>57</v>
      </c>
    </row>
    <row r="3" spans="1:4" ht="14.25" customHeight="1" x14ac:dyDescent="0.25">
      <c r="A3" s="16" t="s">
        <v>94</v>
      </c>
      <c r="B3" s="16" t="s">
        <v>84</v>
      </c>
      <c r="C3" s="33" t="s">
        <v>34</v>
      </c>
    </row>
    <row r="4" spans="1:4" ht="14.25" customHeight="1" x14ac:dyDescent="0.25">
      <c r="A4" s="16" t="s">
        <v>95</v>
      </c>
      <c r="B4" s="16" t="s">
        <v>85</v>
      </c>
    </row>
    <row r="5" spans="1:4" ht="14.25" customHeight="1" x14ac:dyDescent="0.25">
      <c r="A5" s="16" t="s">
        <v>96</v>
      </c>
      <c r="B5" s="16" t="s">
        <v>86</v>
      </c>
    </row>
    <row r="6" spans="1:4" ht="14.25" customHeight="1" x14ac:dyDescent="0.25">
      <c r="A6" s="16" t="s">
        <v>97</v>
      </c>
    </row>
    <row r="7" spans="1:4" ht="14.25" customHeight="1" x14ac:dyDescent="0.25">
      <c r="A7" s="16" t="s">
        <v>98</v>
      </c>
    </row>
    <row r="8" spans="1:4" ht="14.25" customHeight="1" x14ac:dyDescent="0.25">
      <c r="A8" s="16" t="s">
        <v>99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Identificación Casos</vt:lpstr>
      <vt:lpstr>Control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Julio Díaz Rojo</cp:lastModifiedBy>
  <dcterms:created xsi:type="dcterms:W3CDTF">2022-11-12T13:19:55Z</dcterms:created>
  <dcterms:modified xsi:type="dcterms:W3CDTF">2025-12-09T05:57:28Z</dcterms:modified>
</cp:coreProperties>
</file>