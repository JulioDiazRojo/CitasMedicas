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DiazRojo\Downloads\"/>
    </mc:Choice>
  </mc:AlternateContent>
  <xr:revisionPtr revIDLastSave="0" documentId="13_ncr:1_{19E09E29-88B1-401C-8974-183B8AA05A53}" xr6:coauthVersionLast="47" xr6:coauthVersionMax="47" xr10:uidLastSave="{00000000-0000-0000-0000-000000000000}"/>
  <bookViews>
    <workbookView xWindow="-120" yWindow="-120" windowWidth="29040" windowHeight="15840" activeTab="2" xr2:uid="{C9B0B423-4A3A-4590-9382-24C0D8B6837F}"/>
  </bookViews>
  <sheets>
    <sheet name="Contexto" sheetId="3" r:id="rId1"/>
    <sheet name="Proyecto con subscripción" sheetId="1" r:id="rId2"/>
    <sheet name="Proyecto llave en man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27" i="1"/>
  <c r="C26" i="1"/>
  <c r="T14" i="1"/>
  <c r="S14" i="1"/>
  <c r="R14" i="1"/>
  <c r="Q14" i="1"/>
  <c r="P14" i="1"/>
  <c r="O14" i="1"/>
  <c r="T5" i="1"/>
  <c r="S5" i="1"/>
  <c r="R5" i="1"/>
  <c r="Q5" i="1"/>
  <c r="P5" i="1"/>
  <c r="O5" i="1"/>
  <c r="T4" i="1"/>
  <c r="T6" i="1" s="1"/>
  <c r="T8" i="1" s="1"/>
  <c r="S4" i="1"/>
  <c r="S6" i="1" s="1"/>
  <c r="S8" i="1" s="1"/>
  <c r="R4" i="1"/>
  <c r="R6" i="1" s="1"/>
  <c r="R8" i="1" s="1"/>
  <c r="Q4" i="1"/>
  <c r="Q6" i="1" s="1"/>
  <c r="Q8" i="1" s="1"/>
  <c r="P4" i="1"/>
  <c r="P6" i="1" s="1"/>
  <c r="P8" i="1" s="1"/>
  <c r="O4" i="1"/>
  <c r="O6" i="1" s="1"/>
  <c r="O8" i="1" s="1"/>
  <c r="J5" i="1"/>
  <c r="K5" i="1"/>
  <c r="L5" i="1"/>
  <c r="M5" i="1"/>
  <c r="N5" i="1"/>
  <c r="I5" i="1"/>
  <c r="J4" i="1"/>
  <c r="K4" i="1"/>
  <c r="L4" i="1"/>
  <c r="M4" i="1"/>
  <c r="N4" i="1"/>
  <c r="I4" i="1"/>
  <c r="C22" i="1"/>
  <c r="J14" i="1"/>
  <c r="K14" i="1"/>
  <c r="L14" i="1"/>
  <c r="M14" i="1"/>
  <c r="N14" i="1"/>
  <c r="I14" i="1"/>
  <c r="I39" i="1"/>
  <c r="I33" i="1"/>
  <c r="D13" i="1" s="1"/>
  <c r="I27" i="1"/>
  <c r="F12" i="1" s="1"/>
  <c r="I18" i="2"/>
  <c r="K14" i="2"/>
  <c r="K13" i="2"/>
  <c r="I16" i="2"/>
  <c r="J16" i="2"/>
  <c r="N21" i="2"/>
  <c r="C15" i="2" s="1"/>
  <c r="K15" i="2" s="1"/>
  <c r="N15" i="2"/>
  <c r="D13" i="2" s="1"/>
  <c r="N9" i="2"/>
  <c r="F12" i="2" s="1"/>
  <c r="F16" i="2" s="1"/>
  <c r="F18" i="2" s="1"/>
  <c r="C23" i="2"/>
  <c r="I6" i="2"/>
  <c r="I8" i="2" s="1"/>
  <c r="H6" i="2"/>
  <c r="G6" i="2"/>
  <c r="F6" i="2"/>
  <c r="E6" i="2"/>
  <c r="D6" i="2"/>
  <c r="C6" i="2"/>
  <c r="C6" i="1"/>
  <c r="D6" i="1"/>
  <c r="E6" i="1"/>
  <c r="F6" i="1"/>
  <c r="G6" i="1"/>
  <c r="H6" i="1"/>
  <c r="P13" i="1" l="1"/>
  <c r="P16" i="1" s="1"/>
  <c r="P18" i="1" s="1"/>
  <c r="S13" i="1"/>
  <c r="S16" i="1" s="1"/>
  <c r="O13" i="1"/>
  <c r="O16" i="1" s="1"/>
  <c r="O18" i="1" s="1"/>
  <c r="Q13" i="1"/>
  <c r="Q16" i="1" s="1"/>
  <c r="Q18" i="1" s="1"/>
  <c r="R13" i="1"/>
  <c r="R16" i="1" s="1"/>
  <c r="R18" i="1" s="1"/>
  <c r="T13" i="1"/>
  <c r="T16" i="1" s="1"/>
  <c r="T18" i="1" s="1"/>
  <c r="S18" i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13" i="1"/>
  <c r="I16" i="1" s="1"/>
  <c r="K13" i="1"/>
  <c r="K16" i="1" s="1"/>
  <c r="N13" i="1"/>
  <c r="N16" i="1" s="1"/>
  <c r="N18" i="1" s="1"/>
  <c r="M13" i="1"/>
  <c r="M16" i="1" s="1"/>
  <c r="M18" i="1" s="1"/>
  <c r="J13" i="1"/>
  <c r="J16" i="1" s="1"/>
  <c r="J18" i="1" s="1"/>
  <c r="L13" i="1"/>
  <c r="L16" i="1" s="1"/>
  <c r="L18" i="1" s="1"/>
  <c r="C12" i="1"/>
  <c r="H12" i="1"/>
  <c r="G12" i="1"/>
  <c r="E12" i="1"/>
  <c r="C13" i="1"/>
  <c r="D12" i="1"/>
  <c r="D16" i="1" s="1"/>
  <c r="D18" i="1" s="1"/>
  <c r="H13" i="1"/>
  <c r="G13" i="1"/>
  <c r="F13" i="1"/>
  <c r="F16" i="1" s="1"/>
  <c r="F18" i="1" s="1"/>
  <c r="E13" i="1"/>
  <c r="G12" i="2"/>
  <c r="G16" i="2" s="1"/>
  <c r="G18" i="2" s="1"/>
  <c r="E12" i="2"/>
  <c r="E16" i="2" s="1"/>
  <c r="E18" i="2" s="1"/>
  <c r="D12" i="2"/>
  <c r="D16" i="2" s="1"/>
  <c r="D18" i="2" s="1"/>
  <c r="C13" i="2"/>
  <c r="I13" i="2"/>
  <c r="G13" i="2"/>
  <c r="C12" i="2"/>
  <c r="H12" i="2"/>
  <c r="H16" i="2" s="1"/>
  <c r="H18" i="2" s="1"/>
  <c r="H13" i="2"/>
  <c r="F13" i="2"/>
  <c r="E13" i="2"/>
  <c r="C16" i="2" l="1"/>
  <c r="K12" i="2"/>
  <c r="K18" i="1"/>
  <c r="I18" i="1"/>
  <c r="H16" i="1"/>
  <c r="H18" i="1" s="1"/>
  <c r="E16" i="1"/>
  <c r="E18" i="1" s="1"/>
  <c r="G16" i="1"/>
  <c r="G18" i="1" s="1"/>
  <c r="C18" i="2" l="1"/>
  <c r="K16" i="2"/>
  <c r="C20" i="2" s="1"/>
  <c r="C22" i="2" s="1"/>
  <c r="J4" i="2" s="1"/>
  <c r="J6" i="2" s="1"/>
  <c r="J8" i="2" s="1"/>
  <c r="J18" i="2" s="1"/>
  <c r="C21" i="1"/>
  <c r="C18" i="1"/>
  <c r="C28" i="1" l="1"/>
  <c r="C23" i="1"/>
  <c r="D23" i="1" s="1"/>
  <c r="D28" i="1" s="1"/>
  <c r="C24" i="2"/>
  <c r="D24" i="2" s="1"/>
</calcChain>
</file>

<file path=xl/sharedStrings.xml><?xml version="1.0" encoding="utf-8"?>
<sst xmlns="http://schemas.openxmlformats.org/spreadsheetml/2006/main" count="87" uniqueCount="56">
  <si>
    <t>Ingresos</t>
  </si>
  <si>
    <t>Total Ingresos</t>
  </si>
  <si>
    <t>Egresos</t>
  </si>
  <si>
    <t>Sueldos</t>
  </si>
  <si>
    <t>Total Egresos</t>
  </si>
  <si>
    <t>Flujo</t>
  </si>
  <si>
    <t>Cantidad</t>
  </si>
  <si>
    <t>Total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</si>
  <si>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</si>
  <si>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</si>
  <si>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</si>
  <si>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</si>
  <si>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</si>
  <si>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</si>
  <si>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</si>
  <si>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</si>
  <si>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</si>
  <si>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Precio Venta</t>
  </si>
  <si>
    <t>% de Ganancia</t>
  </si>
  <si>
    <t>Precio de venta</t>
  </si>
  <si>
    <t>Sueldos Desarrollo</t>
  </si>
  <si>
    <t>Flujo de Caja</t>
  </si>
  <si>
    <t>Programador 1</t>
  </si>
  <si>
    <t>Programador 2</t>
  </si>
  <si>
    <t>Jefe de Proyecto/Scrum master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</si>
  <si>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</si>
  <si>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</si>
  <si>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</si>
  <si>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</si>
  <si>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</si>
  <si>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</si>
  <si>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</si>
  <si>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</si>
  <si>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Notebooks (2)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</si>
  <si>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</si>
  <si>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</si>
  <si>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</si>
  <si>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</si>
  <si>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</si>
  <si>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</si>
  <si>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</si>
  <si>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</si>
  <si>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</si>
  <si>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</si>
  <si>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</si>
  <si>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</si>
  <si>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</si>
  <si>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Proyecto con venta completa</t>
  </si>
  <si>
    <t>Para este cálculo hay supuestos de sueldos basados en 2 programadores, 1 jefe de proyecto o scrum master, un QA y un vendedor, algunos servicios y compra de 2 notebooks.</t>
  </si>
  <si>
    <t>Para el cálculo del VAN, mi supuesto es que el proyecto se vende con un 45% sobre el costo para tener utilidades.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</si>
  <si>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</si>
  <si>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</si>
  <si>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Para ambos casos pueden variar los número dependiendo de sus costos y los valores que quieran ganar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</si>
  <si>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</si>
  <si>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</si>
  <si>
    <t>Notebooks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</si>
</sst>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  <numFmt numFmtId="165" formatCode="_ * #,##0.0000_ ;_ * \-#,##0.0000_ ;_ * &quot;-&quot;_ ;_ @_ "/>
    <numFmt numFmtId="166" formatCode="_ * #,##0.00000_ ;_ * \-#,##0.00000_ ;_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41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41" fontId="0" fillId="0" borderId="4" xfId="1" applyFont="1" applyBorder="1"/>
    <xf numFmtId="9" fontId="0" fillId="0" borderId="4" xfId="1" applyNumberFormat="1" applyFont="1" applyBorder="1"/>
    <xf numFmtId="9" fontId="0" fillId="0" borderId="4" xfId="2" applyFont="1" applyBorder="1"/>
    <xf numFmtId="41" fontId="0" fillId="0" borderId="9" xfId="1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9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12" xfId="1" applyFont="1" applyBorder="1"/>
    <xf numFmtId="41" fontId="6" fillId="0" borderId="11" xfId="1" applyFont="1" applyBorder="1"/>
    <xf numFmtId="41" fontId="7" fillId="0" borderId="0" xfId="1" applyFont="1"/>
    <xf numFmtId="41" fontId="7" fillId="0" borderId="10" xfId="1" applyFont="1" applyBorder="1"/>
    <xf numFmtId="41" fontId="7" fillId="0" borderId="4" xfId="1" applyFont="1" applyBorder="1"/>
    <xf numFmtId="41" fontId="7" fillId="0" borderId="9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41" fontId="4" fillId="2" borderId="8" xfId="1" applyFont="1" applyFill="1" applyBorder="1" applyAlignment="1">
      <alignment horizontal="center"/>
    </xf>
    <xf numFmtId="41" fontId="0" fillId="8" borderId="9" xfId="1" applyFont="1" applyFill="1" applyBorder="1" applyAlignment="1">
      <alignment horizontal="center"/>
    </xf>
    <xf numFmtId="41" fontId="5" fillId="3" borderId="1" xfId="1" applyFont="1" applyFill="1" applyBorder="1" applyAlignment="1">
      <alignment horizontal="center"/>
    </xf>
    <xf numFmtId="41" fontId="5" fillId="3" borderId="2" xfId="1" applyFont="1" applyFill="1" applyBorder="1" applyAlignment="1">
      <alignment horizontal="center"/>
    </xf>
    <xf numFmtId="41" fontId="5" fillId="3" borderId="3" xfId="1" applyFont="1" applyFill="1" applyBorder="1" applyAlignment="1">
      <alignment horizontal="center"/>
    </xf>
    <xf numFmtId="41" fontId="0" fillId="5" borderId="9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  <xf numFmtId="41" fontId="5" fillId="3" borderId="0" xfId="1" applyFont="1" applyFill="1" applyAlignment="1">
      <alignment horizontal="center"/>
    </xf>
    <xf numFmtId="41" fontId="3" fillId="2" borderId="5" xfId="1" applyFont="1" applyFill="1" applyBorder="1" applyAlignment="1">
      <alignment horizontal="center"/>
    </xf>
    <xf numFmtId="41" fontId="3" fillId="2" borderId="6" xfId="1" applyFont="1" applyFill="1" applyBorder="1" applyAlignment="1">
      <alignment horizontal="center"/>
    </xf>
    <xf numFmtId="41" fontId="3" fillId="2" borderId="7" xfId="1" applyFont="1" applyFill="1" applyBorder="1" applyAlignment="1">
      <alignment horizontal="center"/>
    </xf>
    <xf numFmtId="41" fontId="3" fillId="2" borderId="1" xfId="1" applyFont="1" applyFill="1" applyBorder="1" applyAlignment="1">
      <alignment horizontal="center"/>
    </xf>
    <xf numFmtId="41" fontId="3" fillId="2" borderId="2" xfId="1" applyFont="1" applyFill="1" applyBorder="1" applyAlignment="1">
      <alignment horizontal="center"/>
    </xf>
    <xf numFmtId="41" fontId="3" fillId="2" borderId="3" xfId="1" applyFont="1" applyFill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7"/>
  <sheetViews>
    <sheetView workbookViewId="0">
      <selection activeCell="C15" sqref="C15"/>
    </sheetView>
  </sheetViews>
  <sheetFormatPr baseColWidth="10" defaultRowHeight="15" x14ac:dyDescent="0.25"/>
  <cols>
    <col min="3" max="3" width="118" style="23" customWidth="1"/>
  </cols>
  <sheetData>
    <row r="3" spans="3:3" ht="15.75" thickBot="1" x14ac:dyDescent="0.3">
      <c r="C3" s="25" t="s">
        <v>46</v>
      </c>
    </row>
    <row r="4" spans="3:3" ht="15.75" thickTop="1" x14ac:dyDescent="0.25"/>
    <row r="5" spans="3:3" ht="30" x14ac:dyDescent="0.25">
      <c r="C5" s="24" t="s">
        <v>48</v>
      </c>
    </row>
    <row r="6" spans="3:3" ht="45" x14ac:dyDescent="0.25">
      <c r="C6" s="24" t="s">
        <v>53</v>
      </c>
    </row>
    <row r="7" spans="3:3" ht="30" x14ac:dyDescent="0.25">
      <c r="C7" s="24" t="s">
        <v>50</v>
      </c>
    </row>
    <row r="8" spans="3:3" ht="30" x14ac:dyDescent="0.25">
      <c r="C8" s="24" t="s">
        <v>51</v>
      </c>
    </row>
    <row r="11" spans="3:3" ht="15.75" thickBot="1" x14ac:dyDescent="0.3">
      <c r="C11" s="25" t="s">
        <v>47</v>
      </c>
    </row>
    <row r="12" spans="3:3" ht="15.75" thickTop="1" x14ac:dyDescent="0.25"/>
    <row r="13" spans="3:3" ht="30" x14ac:dyDescent="0.25">
      <c r="C13" s="24" t="s">
        <v>48</v>
      </c>
    </row>
    <row r="14" spans="3:3" ht="45" x14ac:dyDescent="0.25">
      <c r="C14" s="24" t="s">
        <v>54</v>
      </c>
    </row>
    <row r="15" spans="3:3" x14ac:dyDescent="0.25">
      <c r="C15" s="24" t="s">
        <v>49</v>
      </c>
    </row>
    <row r="16" spans="3:3" x14ac:dyDescent="0.25">
      <c r="C16" s="24"/>
    </row>
    <row r="17" spans="3:3" x14ac:dyDescent="0.25">
      <c r="C17" s="24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0"/>
  <sheetViews>
    <sheetView workbookViewId="0">
      <selection activeCell="C16" sqref="C16:H16"/>
    </sheetView>
  </sheetViews>
  <sheetFormatPr baseColWidth="10" defaultRowHeight="15" x14ac:dyDescent="0.25"/>
  <cols>
    <col min="1" max="1" width="3.28515625" customWidth="1"/>
    <col min="2" max="2" width="24" style="1" bestFit="1" customWidth="1"/>
    <col min="3" max="3" width="14.42578125" style="1" bestFit="1" customWidth="1"/>
    <col min="4" max="4" width="15.5703125" style="1" bestFit="1" customWidth="1"/>
    <col min="5" max="7" width="11.42578125" style="1"/>
    <col min="8" max="8" width="13.85546875" style="1" customWidth="1"/>
    <col min="9" max="14" width="10" style="1" bestFit="1" customWidth="1"/>
    <col min="15" max="20" width="10" bestFit="1" customWidth="1"/>
  </cols>
  <sheetData>
    <row r="1" spans="2:20" ht="15.75" thickBot="1" x14ac:dyDescent="0.3">
      <c r="C1" s="32" t="s">
        <v>36</v>
      </c>
      <c r="D1" s="32"/>
      <c r="E1" s="32"/>
      <c r="F1" s="32"/>
      <c r="G1" s="32"/>
      <c r="H1" s="32"/>
      <c r="I1" s="31" t="s">
        <v>40</v>
      </c>
      <c r="J1" s="31"/>
      <c r="K1" s="31"/>
      <c r="L1" s="31"/>
      <c r="M1" s="31"/>
      <c r="N1" s="31"/>
      <c r="O1" s="27" t="s">
        <v>41</v>
      </c>
      <c r="P1" s="27"/>
      <c r="Q1" s="27"/>
      <c r="R1" s="27"/>
      <c r="S1" s="27"/>
      <c r="T1" s="27"/>
    </row>
    <row r="2" spans="2:20" ht="15.75" thickTop="1" x14ac:dyDescent="0.25"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5">
        <v>7</v>
      </c>
      <c r="P2" s="15">
        <v>8</v>
      </c>
      <c r="Q2" s="15">
        <v>9</v>
      </c>
      <c r="R2" s="15">
        <v>10</v>
      </c>
      <c r="S2" s="15">
        <v>11</v>
      </c>
      <c r="T2" s="15">
        <v>12</v>
      </c>
    </row>
    <row r="3" spans="2:20" ht="15.75" thickBot="1" x14ac:dyDescent="0.3">
      <c r="B3" s="12" t="s">
        <v>0</v>
      </c>
      <c r="C3" s="11"/>
      <c r="D3" s="11"/>
      <c r="E3" s="11"/>
      <c r="F3" s="11"/>
      <c r="G3" s="11"/>
      <c r="H3" s="11"/>
      <c r="I3" s="10"/>
      <c r="J3" s="10"/>
      <c r="K3" s="10"/>
      <c r="L3" s="10"/>
      <c r="M3" s="10"/>
      <c r="N3" s="10"/>
      <c r="O3" s="15"/>
      <c r="P3" s="15"/>
      <c r="Q3" s="15"/>
      <c r="R3" s="15"/>
      <c r="S3" s="15"/>
      <c r="T3" s="15"/>
    </row>
    <row r="4" spans="2:20" ht="15.75" thickTop="1" x14ac:dyDescent="0.25">
      <c r="B4" s="1" t="s">
        <v>8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f t="shared" ref="I4:T4" si="0">$M$21</f>
        <v>25000</v>
      </c>
      <c r="J4" s="14">
        <f t="shared" si="0"/>
        <v>25000</v>
      </c>
      <c r="K4" s="14">
        <f t="shared" si="0"/>
        <v>25000</v>
      </c>
      <c r="L4" s="14">
        <f t="shared" si="0"/>
        <v>25000</v>
      </c>
      <c r="M4" s="14">
        <f t="shared" si="0"/>
        <v>25000</v>
      </c>
      <c r="N4" s="14">
        <f t="shared" si="0"/>
        <v>25000</v>
      </c>
      <c r="O4" s="16">
        <f t="shared" si="0"/>
        <v>25000</v>
      </c>
      <c r="P4" s="16">
        <f t="shared" si="0"/>
        <v>25000</v>
      </c>
      <c r="Q4" s="16">
        <f t="shared" si="0"/>
        <v>25000</v>
      </c>
      <c r="R4" s="16">
        <f t="shared" si="0"/>
        <v>25000</v>
      </c>
      <c r="S4" s="16">
        <f t="shared" si="0"/>
        <v>25000</v>
      </c>
      <c r="T4" s="16">
        <f t="shared" si="0"/>
        <v>25000</v>
      </c>
    </row>
    <row r="5" spans="2:20" x14ac:dyDescent="0.25">
      <c r="B5" s="1" t="s">
        <v>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f t="shared" ref="I5:T5" si="1">$M$22</f>
        <v>200</v>
      </c>
      <c r="J5" s="14">
        <f t="shared" si="1"/>
        <v>200</v>
      </c>
      <c r="K5" s="14">
        <f t="shared" si="1"/>
        <v>200</v>
      </c>
      <c r="L5" s="14">
        <f t="shared" si="1"/>
        <v>200</v>
      </c>
      <c r="M5" s="14">
        <f t="shared" si="1"/>
        <v>200</v>
      </c>
      <c r="N5" s="14">
        <f t="shared" si="1"/>
        <v>200</v>
      </c>
      <c r="O5" s="16">
        <f t="shared" si="1"/>
        <v>200</v>
      </c>
      <c r="P5" s="16">
        <f t="shared" si="1"/>
        <v>200</v>
      </c>
      <c r="Q5" s="16">
        <f t="shared" si="1"/>
        <v>200</v>
      </c>
      <c r="R5" s="16">
        <f t="shared" si="1"/>
        <v>200</v>
      </c>
      <c r="S5" s="16">
        <f t="shared" si="1"/>
        <v>200</v>
      </c>
      <c r="T5" s="16">
        <f t="shared" si="1"/>
        <v>200</v>
      </c>
    </row>
    <row r="6" spans="2:20" x14ac:dyDescent="0.25">
      <c r="B6" s="1" t="s">
        <v>9</v>
      </c>
      <c r="C6" s="13">
        <f t="shared" ref="C6:H6" si="2">C4*C5</f>
        <v>0</v>
      </c>
      <c r="D6" s="13">
        <f t="shared" si="2"/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13">
        <f t="shared" si="2"/>
        <v>0</v>
      </c>
      <c r="I6" s="14">
        <f>I4*I5</f>
        <v>5000000</v>
      </c>
      <c r="J6" s="14">
        <f t="shared" ref="J6:N6" si="3">J4*J5</f>
        <v>5000000</v>
      </c>
      <c r="K6" s="14">
        <f t="shared" si="3"/>
        <v>5000000</v>
      </c>
      <c r="L6" s="14">
        <f t="shared" si="3"/>
        <v>5000000</v>
      </c>
      <c r="M6" s="14">
        <f t="shared" si="3"/>
        <v>5000000</v>
      </c>
      <c r="N6" s="14">
        <f t="shared" si="3"/>
        <v>5000000</v>
      </c>
      <c r="O6" s="16">
        <f>O4*O5</f>
        <v>5000000</v>
      </c>
      <c r="P6" s="16">
        <f t="shared" ref="P6:T6" si="4">P4*P5</f>
        <v>5000000</v>
      </c>
      <c r="Q6" s="16">
        <f t="shared" si="4"/>
        <v>5000000</v>
      </c>
      <c r="R6" s="16">
        <f t="shared" si="4"/>
        <v>5000000</v>
      </c>
      <c r="S6" s="16">
        <f t="shared" si="4"/>
        <v>5000000</v>
      </c>
      <c r="T6" s="16">
        <f t="shared" si="4"/>
        <v>5000000</v>
      </c>
    </row>
    <row r="7" spans="2:20" x14ac:dyDescent="0.25">
      <c r="B7" s="1" t="s">
        <v>10</v>
      </c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6"/>
      <c r="P7" s="16"/>
      <c r="Q7" s="16"/>
      <c r="R7" s="16"/>
      <c r="S7" s="16"/>
      <c r="T7" s="16"/>
    </row>
    <row r="8" spans="2:20" x14ac:dyDescent="0.25">
      <c r="B8" s="1" t="s">
        <v>1</v>
      </c>
      <c r="C8" s="13"/>
      <c r="D8" s="13"/>
      <c r="E8" s="13"/>
      <c r="F8" s="13"/>
      <c r="G8" s="13"/>
      <c r="H8" s="13"/>
      <c r="I8" s="14">
        <f>SUM(I6:I7)</f>
        <v>5000000</v>
      </c>
      <c r="J8" s="14">
        <f t="shared" ref="J8:N8" si="5">SUM(J6:J7)</f>
        <v>5000000</v>
      </c>
      <c r="K8" s="14">
        <f t="shared" si="5"/>
        <v>5000000</v>
      </c>
      <c r="L8" s="14">
        <f t="shared" si="5"/>
        <v>5000000</v>
      </c>
      <c r="M8" s="14">
        <f t="shared" si="5"/>
        <v>5000000</v>
      </c>
      <c r="N8" s="14">
        <f t="shared" si="5"/>
        <v>5000000</v>
      </c>
      <c r="O8" s="16">
        <f>SUM(O6:O7)</f>
        <v>5000000</v>
      </c>
      <c r="P8" s="16">
        <f t="shared" ref="P8:T8" si="6">SUM(P6:P7)</f>
        <v>5000000</v>
      </c>
      <c r="Q8" s="16">
        <f t="shared" si="6"/>
        <v>5000000</v>
      </c>
      <c r="R8" s="16">
        <f t="shared" si="6"/>
        <v>5000000</v>
      </c>
      <c r="S8" s="16">
        <f t="shared" si="6"/>
        <v>5000000</v>
      </c>
      <c r="T8" s="16">
        <f t="shared" si="6"/>
        <v>5000000</v>
      </c>
    </row>
    <row r="9" spans="2:20" x14ac:dyDescent="0.25">
      <c r="C9" s="13"/>
      <c r="D9" s="13"/>
      <c r="E9" s="13"/>
      <c r="F9" s="13"/>
      <c r="G9" s="13"/>
      <c r="H9" s="13"/>
      <c r="I9" s="14"/>
      <c r="J9" s="14"/>
      <c r="K9" s="14"/>
      <c r="L9" s="14"/>
      <c r="M9" s="14"/>
      <c r="N9" s="14"/>
      <c r="O9" s="16"/>
      <c r="P9" s="16"/>
      <c r="Q9" s="16"/>
      <c r="R9" s="16"/>
      <c r="S9" s="16"/>
      <c r="T9" s="16"/>
    </row>
    <row r="10" spans="2:20" ht="15.75" thickBot="1" x14ac:dyDescent="0.3">
      <c r="B10" s="12" t="s">
        <v>2</v>
      </c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10"/>
      <c r="N10" s="10"/>
      <c r="O10" s="15"/>
      <c r="P10" s="15"/>
      <c r="Q10" s="15"/>
      <c r="R10" s="15"/>
      <c r="S10" s="15"/>
      <c r="T10" s="15"/>
    </row>
    <row r="11" spans="2:20" ht="15.75" thickTop="1" x14ac:dyDescent="0.25">
      <c r="C11" s="11"/>
      <c r="D11" s="11"/>
      <c r="E11" s="11"/>
      <c r="F11" s="11"/>
      <c r="G11" s="11"/>
      <c r="H11" s="11"/>
      <c r="I11" s="10"/>
      <c r="J11" s="10"/>
      <c r="K11" s="10"/>
      <c r="L11" s="10"/>
      <c r="M11" s="10"/>
      <c r="N11" s="10"/>
      <c r="O11" s="15"/>
      <c r="P11" s="15"/>
      <c r="Q11" s="15"/>
      <c r="R11" s="15"/>
      <c r="S11" s="15"/>
      <c r="T11" s="15"/>
    </row>
    <row r="12" spans="2:20" x14ac:dyDescent="0.25">
      <c r="B12" s="1" t="s">
        <v>11</v>
      </c>
      <c r="C12" s="13">
        <f t="shared" ref="C12:H12" si="7">$I$27</f>
        <v>3500000</v>
      </c>
      <c r="D12" s="13">
        <f t="shared" si="7"/>
        <v>3500000</v>
      </c>
      <c r="E12" s="13">
        <f t="shared" si="7"/>
        <v>3500000</v>
      </c>
      <c r="F12" s="13">
        <f t="shared" si="7"/>
        <v>3500000</v>
      </c>
      <c r="G12" s="13">
        <f t="shared" si="7"/>
        <v>3500000</v>
      </c>
      <c r="H12" s="13">
        <f t="shared" si="7"/>
        <v>3500000</v>
      </c>
      <c r="I12" s="14"/>
      <c r="J12" s="14"/>
      <c r="K12" s="14"/>
      <c r="L12" s="14"/>
      <c r="M12" s="14"/>
      <c r="N12" s="14"/>
      <c r="O12" s="16"/>
      <c r="P12" s="16"/>
      <c r="Q12" s="16"/>
      <c r="R12" s="16"/>
      <c r="S12" s="16"/>
      <c r="T12" s="16"/>
    </row>
    <row r="13" spans="2:20" x14ac:dyDescent="0.25">
      <c r="B13" s="1" t="s">
        <v>12</v>
      </c>
      <c r="C13" s="13">
        <f t="shared" ref="C13:T13" si="8">$I$33</f>
        <v>100000</v>
      </c>
      <c r="D13" s="13">
        <f t="shared" si="8"/>
        <v>100000</v>
      </c>
      <c r="E13" s="13">
        <f t="shared" si="8"/>
        <v>100000</v>
      </c>
      <c r="F13" s="13">
        <f t="shared" si="8"/>
        <v>100000</v>
      </c>
      <c r="G13" s="13">
        <f t="shared" si="8"/>
        <v>100000</v>
      </c>
      <c r="H13" s="13">
        <f t="shared" si="8"/>
        <v>100000</v>
      </c>
      <c r="I13" s="14">
        <f t="shared" si="8"/>
        <v>100000</v>
      </c>
      <c r="J13" s="14">
        <f t="shared" si="8"/>
        <v>100000</v>
      </c>
      <c r="K13" s="14">
        <f t="shared" si="8"/>
        <v>100000</v>
      </c>
      <c r="L13" s="14">
        <f t="shared" si="8"/>
        <v>100000</v>
      </c>
      <c r="M13" s="14">
        <f t="shared" si="8"/>
        <v>100000</v>
      </c>
      <c r="N13" s="14">
        <f t="shared" si="8"/>
        <v>100000</v>
      </c>
      <c r="O13" s="16">
        <f t="shared" si="8"/>
        <v>100000</v>
      </c>
      <c r="P13" s="16">
        <f t="shared" si="8"/>
        <v>100000</v>
      </c>
      <c r="Q13" s="16">
        <f t="shared" si="8"/>
        <v>100000</v>
      </c>
      <c r="R13" s="16">
        <f t="shared" si="8"/>
        <v>100000</v>
      </c>
      <c r="S13" s="16">
        <f t="shared" si="8"/>
        <v>100000</v>
      </c>
      <c r="T13" s="16">
        <f t="shared" si="8"/>
        <v>100000</v>
      </c>
    </row>
    <row r="14" spans="2:20" x14ac:dyDescent="0.25">
      <c r="B14" s="1" t="s">
        <v>13</v>
      </c>
      <c r="C14" s="13"/>
      <c r="D14" s="13"/>
      <c r="E14" s="13"/>
      <c r="F14" s="13"/>
      <c r="G14" s="13"/>
      <c r="H14" s="13"/>
      <c r="I14" s="14">
        <f t="shared" ref="I14:T14" si="9">$I$28</f>
        <v>1000000</v>
      </c>
      <c r="J14" s="14">
        <f t="shared" si="9"/>
        <v>1000000</v>
      </c>
      <c r="K14" s="14">
        <f t="shared" si="9"/>
        <v>1000000</v>
      </c>
      <c r="L14" s="14">
        <f t="shared" si="9"/>
        <v>1000000</v>
      </c>
      <c r="M14" s="14">
        <f t="shared" si="9"/>
        <v>1000000</v>
      </c>
      <c r="N14" s="14">
        <f t="shared" si="9"/>
        <v>1000000</v>
      </c>
      <c r="O14" s="16">
        <f t="shared" si="9"/>
        <v>1000000</v>
      </c>
      <c r="P14" s="16">
        <f t="shared" si="9"/>
        <v>1000000</v>
      </c>
      <c r="Q14" s="16">
        <f t="shared" si="9"/>
        <v>1000000</v>
      </c>
      <c r="R14" s="16">
        <f t="shared" si="9"/>
        <v>1000000</v>
      </c>
      <c r="S14" s="16">
        <f t="shared" si="9"/>
        <v>1000000</v>
      </c>
      <c r="T14" s="16">
        <f t="shared" si="9"/>
        <v>1000000</v>
      </c>
    </row>
    <row r="15" spans="2:20" x14ac:dyDescent="0.25">
      <c r="B15" s="1" t="s">
        <v>31</v>
      </c>
      <c r="C15" s="13">
        <f>I39</f>
        <v>1400000</v>
      </c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/>
      <c r="O15" s="16"/>
      <c r="P15" s="16"/>
      <c r="Q15" s="16"/>
      <c r="R15" s="16"/>
      <c r="S15" s="16"/>
      <c r="T15" s="16"/>
    </row>
    <row r="16" spans="2:20" x14ac:dyDescent="0.25">
      <c r="B16" s="1" t="s">
        <v>4</v>
      </c>
      <c r="C16" s="13">
        <f>SUM(C12:C15)</f>
        <v>5000000</v>
      </c>
      <c r="D16" s="13">
        <f t="shared" ref="D16:N16" si="10">SUM(D12:D15)</f>
        <v>3600000</v>
      </c>
      <c r="E16" s="13">
        <f t="shared" si="10"/>
        <v>3600000</v>
      </c>
      <c r="F16" s="13">
        <f t="shared" si="10"/>
        <v>3600000</v>
      </c>
      <c r="G16" s="13">
        <f t="shared" si="10"/>
        <v>3600000</v>
      </c>
      <c r="H16" s="13">
        <f t="shared" si="10"/>
        <v>3600000</v>
      </c>
      <c r="I16" s="14">
        <f t="shared" si="10"/>
        <v>1100000</v>
      </c>
      <c r="J16" s="14">
        <f t="shared" si="10"/>
        <v>1100000</v>
      </c>
      <c r="K16" s="14">
        <f t="shared" si="10"/>
        <v>1100000</v>
      </c>
      <c r="L16" s="14">
        <f t="shared" si="10"/>
        <v>1100000</v>
      </c>
      <c r="M16" s="14">
        <f t="shared" si="10"/>
        <v>1100000</v>
      </c>
      <c r="N16" s="14">
        <f t="shared" si="10"/>
        <v>1100000</v>
      </c>
      <c r="O16" s="16">
        <f t="shared" ref="O16" si="11">SUM(O12:O15)</f>
        <v>1100000</v>
      </c>
      <c r="P16" s="16">
        <f t="shared" ref="P16" si="12">SUM(P12:P15)</f>
        <v>1100000</v>
      </c>
      <c r="Q16" s="16">
        <f t="shared" ref="Q16" si="13">SUM(Q12:Q15)</f>
        <v>1100000</v>
      </c>
      <c r="R16" s="16">
        <f t="shared" ref="R16" si="14">SUM(R12:R15)</f>
        <v>1100000</v>
      </c>
      <c r="S16" s="16">
        <f t="shared" ref="S16" si="15">SUM(S12:S15)</f>
        <v>1100000</v>
      </c>
      <c r="T16" s="16">
        <f t="shared" ref="T16" si="16">SUM(T12:T15)</f>
        <v>1100000</v>
      </c>
    </row>
    <row r="17" spans="2:20" x14ac:dyDescent="0.25">
      <c r="C17" s="11"/>
      <c r="D17" s="11"/>
      <c r="E17" s="11"/>
      <c r="F17" s="11"/>
      <c r="G17" s="11"/>
      <c r="H17" s="11"/>
      <c r="I17" s="10"/>
      <c r="J17" s="10"/>
      <c r="K17" s="10"/>
      <c r="L17" s="10"/>
      <c r="M17" s="10"/>
      <c r="N17" s="10"/>
      <c r="O17" s="15"/>
      <c r="P17" s="15"/>
      <c r="Q17" s="15"/>
      <c r="R17" s="15"/>
      <c r="S17" s="15"/>
      <c r="T17" s="15"/>
    </row>
    <row r="18" spans="2:20" x14ac:dyDescent="0.25">
      <c r="B18" s="1" t="s">
        <v>5</v>
      </c>
      <c r="C18" s="13">
        <f t="shared" ref="C18:N18" si="17">C8-C16</f>
        <v>-5000000</v>
      </c>
      <c r="D18" s="13">
        <f t="shared" si="17"/>
        <v>-3600000</v>
      </c>
      <c r="E18" s="13">
        <f t="shared" si="17"/>
        <v>-3600000</v>
      </c>
      <c r="F18" s="13">
        <f t="shared" si="17"/>
        <v>-3600000</v>
      </c>
      <c r="G18" s="13">
        <f t="shared" si="17"/>
        <v>-3600000</v>
      </c>
      <c r="H18" s="13">
        <f t="shared" si="17"/>
        <v>-3600000</v>
      </c>
      <c r="I18" s="14">
        <f t="shared" si="17"/>
        <v>3900000</v>
      </c>
      <c r="J18" s="14">
        <f t="shared" si="17"/>
        <v>3900000</v>
      </c>
      <c r="K18" s="14">
        <f t="shared" si="17"/>
        <v>3900000</v>
      </c>
      <c r="L18" s="14">
        <f t="shared" si="17"/>
        <v>3900000</v>
      </c>
      <c r="M18" s="14">
        <f t="shared" si="17"/>
        <v>3900000</v>
      </c>
      <c r="N18" s="14">
        <f t="shared" si="17"/>
        <v>3900000</v>
      </c>
      <c r="O18" s="16">
        <f t="shared" ref="O18:T18" si="18">O8-O16</f>
        <v>3900000</v>
      </c>
      <c r="P18" s="16">
        <f t="shared" si="18"/>
        <v>3900000</v>
      </c>
      <c r="Q18" s="16">
        <f t="shared" si="18"/>
        <v>3900000</v>
      </c>
      <c r="R18" s="16">
        <f t="shared" si="18"/>
        <v>3900000</v>
      </c>
      <c r="S18" s="16">
        <f t="shared" si="18"/>
        <v>3900000</v>
      </c>
      <c r="T18" s="16">
        <f t="shared" si="18"/>
        <v>3900000</v>
      </c>
    </row>
    <row r="19" spans="2:20" ht="15.75" thickBot="1" x14ac:dyDescent="0.3"/>
    <row r="20" spans="2:20" ht="21.75" thickBot="1" x14ac:dyDescent="0.4">
      <c r="B20" s="18" t="s">
        <v>43</v>
      </c>
      <c r="H20" s="28" t="s">
        <v>30</v>
      </c>
      <c r="I20" s="30"/>
      <c r="K20" s="28" t="s">
        <v>42</v>
      </c>
      <c r="L20" s="29"/>
      <c r="M20" s="30"/>
    </row>
    <row r="21" spans="2:20" ht="15.75" thickTop="1" x14ac:dyDescent="0.25">
      <c r="B21" s="5" t="s">
        <v>16</v>
      </c>
      <c r="C21" s="5">
        <f>SUM(C16:H16)</f>
        <v>23000000</v>
      </c>
      <c r="K21" s="19" t="s">
        <v>38</v>
      </c>
      <c r="M21" s="19">
        <v>25000</v>
      </c>
    </row>
    <row r="22" spans="2:20" x14ac:dyDescent="0.25">
      <c r="B22" s="5" t="s">
        <v>14</v>
      </c>
      <c r="C22" s="7">
        <f>8/100</f>
        <v>0.08</v>
      </c>
      <c r="D22" s="2"/>
      <c r="H22" s="26" t="s">
        <v>3</v>
      </c>
      <c r="I22" s="26"/>
      <c r="K22" s="19" t="s">
        <v>39</v>
      </c>
      <c r="M22" s="19">
        <v>200</v>
      </c>
    </row>
    <row r="23" spans="2:20" x14ac:dyDescent="0.25">
      <c r="B23" s="5" t="s">
        <v>15</v>
      </c>
      <c r="C23" s="9">
        <f>NPV($C$22,C18:N18)</f>
        <v>-6577189.509997311</v>
      </c>
      <c r="D23" s="1" t="str">
        <f>IF(C23&gt;0,"==&gt; Proyecto viable","==&gt; Proyecto no viable")</f>
        <v>==&gt; Proyecto no viable</v>
      </c>
      <c r="H23" s="19" t="s">
        <v>22</v>
      </c>
      <c r="I23" s="19">
        <v>800000</v>
      </c>
    </row>
    <row r="24" spans="2:20" x14ac:dyDescent="0.25">
      <c r="H24" s="19" t="s">
        <v>23</v>
      </c>
      <c r="I24" s="19">
        <v>800000</v>
      </c>
    </row>
    <row r="25" spans="2:20" ht="16.5" thickBot="1" x14ac:dyDescent="0.3">
      <c r="B25" s="18" t="s">
        <v>44</v>
      </c>
      <c r="H25" s="19" t="s">
        <v>45</v>
      </c>
      <c r="I25" s="19">
        <v>1200000</v>
      </c>
    </row>
    <row r="26" spans="2:20" ht="15.75" thickTop="1" x14ac:dyDescent="0.25">
      <c r="B26" s="17" t="s">
        <v>16</v>
      </c>
      <c r="C26" s="5">
        <f>SUM(C20:H20)</f>
        <v>0</v>
      </c>
      <c r="H26" s="19" t="s">
        <v>25</v>
      </c>
      <c r="I26" s="19">
        <v>700000</v>
      </c>
    </row>
    <row r="27" spans="2:20" x14ac:dyDescent="0.25">
      <c r="B27" s="5" t="s">
        <v>14</v>
      </c>
      <c r="C27" s="7">
        <f>8/100</f>
        <v>0.08</v>
      </c>
      <c r="D27" s="2"/>
      <c r="H27" s="20" t="s">
        <v>26</v>
      </c>
      <c r="I27" s="20">
        <f>SUM(I23:I26)</f>
        <v>3500000</v>
      </c>
    </row>
    <row r="28" spans="2:20" x14ac:dyDescent="0.25">
      <c r="B28" s="5" t="s">
        <v>15</v>
      </c>
      <c r="C28" s="9">
        <f>NPV($C$27,C18:T18)</f>
        <v>582466.05458529235</v>
      </c>
      <c r="D28" s="1" t="str">
        <f>IF(C28&gt;0,"==&gt; Proyecto viable","==&gt; Proyecto no viable")</f>
        <v>==&gt; Proyecto viable</v>
      </c>
      <c r="H28" s="21" t="s">
        <v>37</v>
      </c>
      <c r="I28" s="21">
        <v>1000000</v>
      </c>
    </row>
    <row r="29" spans="2:20" x14ac:dyDescent="0.25">
      <c r="H29" s="26" t="s">
        <v>12</v>
      </c>
      <c r="I29" s="26"/>
    </row>
    <row r="30" spans="2:20" x14ac:dyDescent="0.25">
      <c r="H30" s="19" t="s">
        <v>27</v>
      </c>
      <c r="I30" s="19">
        <v>30000</v>
      </c>
    </row>
    <row r="31" spans="2:20" x14ac:dyDescent="0.25">
      <c r="H31" s="19" t="s">
        <v>28</v>
      </c>
      <c r="I31" s="19">
        <v>30000</v>
      </c>
    </row>
    <row r="32" spans="2:20" x14ac:dyDescent="0.25">
      <c r="H32" s="19" t="s">
        <v>29</v>
      </c>
      <c r="I32" s="19">
        <v>40000</v>
      </c>
    </row>
    <row r="33" spans="8:9" ht="15.75" thickBot="1" x14ac:dyDescent="0.3">
      <c r="H33" s="22" t="s">
        <v>35</v>
      </c>
      <c r="I33" s="22">
        <f>SUM(I30:I32)</f>
        <v>100000</v>
      </c>
    </row>
    <row r="34" spans="8:9" ht="15.75" thickTop="1" x14ac:dyDescent="0.25"/>
    <row r="35" spans="8:9" x14ac:dyDescent="0.25">
      <c r="H35" s="26" t="s">
        <v>31</v>
      </c>
      <c r="I35" s="26"/>
    </row>
    <row r="36" spans="8:9" x14ac:dyDescent="0.25">
      <c r="H36" s="19" t="s">
        <v>33</v>
      </c>
      <c r="I36" s="19">
        <v>1200000</v>
      </c>
    </row>
    <row r="37" spans="8:9" x14ac:dyDescent="0.25">
      <c r="H37" s="19" t="s">
        <v>32</v>
      </c>
      <c r="I37" s="19">
        <v>200000</v>
      </c>
    </row>
    <row r="38" spans="8:9" x14ac:dyDescent="0.25">
      <c r="H38" s="19" t="s">
        <v>10</v>
      </c>
      <c r="I38" s="19"/>
    </row>
    <row r="39" spans="8:9" ht="15.75" thickBot="1" x14ac:dyDescent="0.3">
      <c r="H39" s="22" t="s">
        <v>34</v>
      </c>
      <c r="I39" s="22">
        <f>SUM(I36:I38)</f>
        <v>1400000</v>
      </c>
    </row>
    <row r="40" spans="8:9" ht="15.75" thickTop="1" x14ac:dyDescent="0.25"/>
  </sheetData>
  <mergeCells count="8">
    <mergeCell ref="H35:I35"/>
    <mergeCell ref="O1:T1"/>
    <mergeCell ref="K20:M20"/>
    <mergeCell ref="I1:N1"/>
    <mergeCell ref="C1:H1"/>
    <mergeCell ref="H20:I20"/>
    <mergeCell ref="H22:I22"/>
    <mergeCell ref="H29:I29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2D74-BB03-40E6-890E-5F0AE847A426}">
  <dimension ref="A2:O25"/>
  <sheetViews>
    <sheetView tabSelected="1" workbookViewId="0">
      <selection activeCell="B2" sqref="B2:N24"/>
    </sheetView>
  </sheetViews>
  <sheetFormatPr baseColWidth="10" defaultRowHeight="15" x14ac:dyDescent="0.25"/>
  <cols>
    <col min="1" max="1" width="11.42578125" style="1"/>
    <col min="2" max="2" width="18" style="1" bestFit="1" customWidth="1"/>
    <col min="3" max="3" width="13.42578125" style="1" bestFit="1" customWidth="1"/>
    <col min="4" max="4" width="15.5703125" style="1" bestFit="1" customWidth="1"/>
    <col min="5" max="11" width="11.42578125" style="1"/>
    <col min="12" max="12" width="3.5703125" style="1" customWidth="1"/>
    <col min="13" max="13" width="29.85546875" style="1" bestFit="1" customWidth="1"/>
    <col min="14" max="14" width="11.42578125" style="1"/>
  </cols>
  <sheetData>
    <row r="2" spans="2:15" ht="21.75" thickBot="1" x14ac:dyDescent="0.4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 t="s">
        <v>7</v>
      </c>
      <c r="M2" s="33" t="s">
        <v>30</v>
      </c>
      <c r="N2" s="33"/>
    </row>
    <row r="3" spans="2:15" x14ac:dyDescent="0.25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6"/>
    </row>
    <row r="4" spans="2:15" x14ac:dyDescent="0.25">
      <c r="B4" s="5" t="s">
        <v>19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/>
      <c r="J4" s="5">
        <f>+C22</f>
        <v>25375000</v>
      </c>
      <c r="K4" s="5"/>
      <c r="M4" s="26" t="s">
        <v>3</v>
      </c>
      <c r="N4" s="26"/>
    </row>
    <row r="5" spans="2:15" x14ac:dyDescent="0.25">
      <c r="B5" s="5"/>
      <c r="C5" s="5"/>
      <c r="D5" s="5"/>
      <c r="E5" s="5"/>
      <c r="F5" s="5"/>
      <c r="G5" s="5"/>
      <c r="H5" s="5"/>
      <c r="I5" s="5"/>
      <c r="J5" s="5"/>
      <c r="K5" s="5"/>
      <c r="M5" s="1" t="s">
        <v>22</v>
      </c>
      <c r="N5" s="1">
        <v>800000</v>
      </c>
    </row>
    <row r="6" spans="2:15" x14ac:dyDescent="0.25">
      <c r="B6" s="5"/>
      <c r="C6" s="5">
        <f t="shared" ref="C6:H6" si="0">C4*C5</f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>I4*I5</f>
        <v>0</v>
      </c>
      <c r="J6" s="5">
        <f t="shared" ref="J6" si="1">J4*J5</f>
        <v>0</v>
      </c>
      <c r="K6" s="5"/>
    </row>
    <row r="7" spans="2:15" x14ac:dyDescent="0.25">
      <c r="B7" s="5"/>
      <c r="C7" s="5"/>
      <c r="D7" s="5"/>
      <c r="E7" s="5"/>
      <c r="F7" s="5"/>
      <c r="G7" s="5"/>
      <c r="H7" s="5"/>
      <c r="I7" s="5"/>
      <c r="J7" s="5"/>
      <c r="K7" s="5"/>
      <c r="M7" s="1" t="s">
        <v>24</v>
      </c>
      <c r="N7" s="1">
        <v>1200000</v>
      </c>
    </row>
    <row r="8" spans="2:15" x14ac:dyDescent="0.25">
      <c r="B8" s="5" t="s">
        <v>1</v>
      </c>
      <c r="C8" s="5"/>
      <c r="D8" s="5"/>
      <c r="E8" s="5"/>
      <c r="F8" s="5"/>
      <c r="G8" s="5"/>
      <c r="H8" s="5"/>
      <c r="I8" s="5">
        <f>SUM(I4:I7)</f>
        <v>0</v>
      </c>
      <c r="J8" s="5">
        <f>SUM(J4:J7)</f>
        <v>25375000</v>
      </c>
      <c r="K8" s="5"/>
      <c r="M8" s="1" t="s">
        <v>25</v>
      </c>
      <c r="N8" s="1">
        <v>700000</v>
      </c>
      <c r="O8" s="1"/>
    </row>
    <row r="9" spans="2:15" ht="15.75" thickBot="1" x14ac:dyDescent="0.3">
      <c r="M9" s="8" t="s">
        <v>26</v>
      </c>
      <c r="N9" s="8">
        <f>SUM(N5:N8)</f>
        <v>2700000</v>
      </c>
    </row>
    <row r="10" spans="2:15" ht="16.5" thickTop="1" thickBot="1" x14ac:dyDescent="0.3">
      <c r="B10" s="37" t="s">
        <v>2</v>
      </c>
      <c r="C10" s="38"/>
      <c r="D10" s="38"/>
      <c r="E10" s="38"/>
      <c r="F10" s="38"/>
      <c r="G10" s="38"/>
      <c r="H10" s="38"/>
      <c r="I10" s="38"/>
      <c r="J10" s="38"/>
      <c r="K10" s="39"/>
    </row>
    <row r="11" spans="2:15" x14ac:dyDescent="0.25">
      <c r="M11" s="26" t="s">
        <v>12</v>
      </c>
      <c r="N11" s="26"/>
    </row>
    <row r="12" spans="2:15" x14ac:dyDescent="0.25">
      <c r="B12" s="5" t="s">
        <v>20</v>
      </c>
      <c r="C12" s="5">
        <f t="shared" ref="C12:H12" si="2">+$N$9</f>
        <v>2700000</v>
      </c>
      <c r="D12" s="5">
        <f t="shared" si="2"/>
        <v>2700000</v>
      </c>
      <c r="E12" s="5">
        <f t="shared" si="2"/>
        <v>2700000</v>
      </c>
      <c r="F12" s="5">
        <f t="shared" si="2"/>
        <v>2700000</v>
      </c>
      <c r="G12" s="5">
        <f t="shared" si="2"/>
        <v>2700000</v>
      </c>
      <c r="H12" s="5">
        <f t="shared" si="2"/>
        <v>2700000</v>
      </c>
      <c r="I12" s="5"/>
      <c r="J12" s="5"/>
      <c r="K12" s="5">
        <f>SUM(C12:J12)</f>
        <v>16200000</v>
      </c>
      <c r="M12" s="1" t="s">
        <v>27</v>
      </c>
      <c r="N12" s="1">
        <v>30000</v>
      </c>
    </row>
    <row r="13" spans="2:15" x14ac:dyDescent="0.25">
      <c r="B13" s="5" t="s">
        <v>12</v>
      </c>
      <c r="C13" s="5">
        <f t="shared" ref="C13:I13" si="3">$N$15</f>
        <v>100000</v>
      </c>
      <c r="D13" s="5">
        <f t="shared" si="3"/>
        <v>100000</v>
      </c>
      <c r="E13" s="5">
        <f t="shared" si="3"/>
        <v>100000</v>
      </c>
      <c r="F13" s="5">
        <f t="shared" si="3"/>
        <v>100000</v>
      </c>
      <c r="G13" s="5">
        <f t="shared" si="3"/>
        <v>100000</v>
      </c>
      <c r="H13" s="5">
        <f t="shared" si="3"/>
        <v>100000</v>
      </c>
      <c r="I13" s="5">
        <f t="shared" si="3"/>
        <v>100000</v>
      </c>
      <c r="J13" s="5"/>
      <c r="K13" s="5">
        <f>SUM(C13:J13)</f>
        <v>700000</v>
      </c>
      <c r="M13" s="1" t="s">
        <v>28</v>
      </c>
      <c r="N13" s="1">
        <v>30000</v>
      </c>
    </row>
    <row r="14" spans="2:15" x14ac:dyDescent="0.25">
      <c r="B14" s="5" t="s">
        <v>10</v>
      </c>
      <c r="C14" s="5"/>
      <c r="D14" s="5"/>
      <c r="E14" s="5"/>
      <c r="F14" s="5"/>
      <c r="G14" s="5"/>
      <c r="H14" s="5"/>
      <c r="I14" s="5"/>
      <c r="J14" s="5"/>
      <c r="K14" s="5">
        <f t="shared" ref="K14:K16" si="4">SUM(C14:J14)</f>
        <v>0</v>
      </c>
      <c r="M14" s="1" t="s">
        <v>29</v>
      </c>
      <c r="N14" s="1">
        <v>40000</v>
      </c>
    </row>
    <row r="15" spans="2:15" ht="15.75" thickBot="1" x14ac:dyDescent="0.3">
      <c r="B15" s="5" t="s">
        <v>31</v>
      </c>
      <c r="C15" s="5">
        <f>+N21</f>
        <v>600000</v>
      </c>
      <c r="D15" s="5"/>
      <c r="E15" s="5"/>
      <c r="F15" s="5"/>
      <c r="G15" s="5"/>
      <c r="H15" s="5"/>
      <c r="I15" s="5"/>
      <c r="J15" s="5"/>
      <c r="K15" s="5">
        <f t="shared" si="4"/>
        <v>600000</v>
      </c>
      <c r="M15" s="8" t="s">
        <v>35</v>
      </c>
      <c r="N15" s="8">
        <f>SUM(N12:N14)</f>
        <v>100000</v>
      </c>
    </row>
    <row r="16" spans="2:15" ht="15.75" thickTop="1" x14ac:dyDescent="0.25">
      <c r="B16" s="5" t="s">
        <v>4</v>
      </c>
      <c r="C16" s="5">
        <f>SUM(C12:C15)</f>
        <v>3400000</v>
      </c>
      <c r="D16" s="5">
        <f t="shared" ref="D16:J16" si="5">SUM(D12:D15)</f>
        <v>2800000</v>
      </c>
      <c r="E16" s="5">
        <f t="shared" si="5"/>
        <v>2800000</v>
      </c>
      <c r="F16" s="5">
        <f t="shared" si="5"/>
        <v>2800000</v>
      </c>
      <c r="G16" s="5">
        <f t="shared" si="5"/>
        <v>2800000</v>
      </c>
      <c r="H16" s="5">
        <f t="shared" si="5"/>
        <v>2800000</v>
      </c>
      <c r="I16" s="5">
        <f t="shared" si="5"/>
        <v>100000</v>
      </c>
      <c r="J16" s="5">
        <f t="shared" si="5"/>
        <v>0</v>
      </c>
      <c r="K16" s="5">
        <f t="shared" si="4"/>
        <v>17500000</v>
      </c>
      <c r="O16" s="1"/>
    </row>
    <row r="17" spans="2:15" x14ac:dyDescent="0.25">
      <c r="M17" s="26" t="s">
        <v>31</v>
      </c>
      <c r="N17" s="26"/>
      <c r="O17" s="1"/>
    </row>
    <row r="18" spans="2:15" x14ac:dyDescent="0.25">
      <c r="B18" s="5" t="s">
        <v>21</v>
      </c>
      <c r="C18" s="5">
        <f>C8-C16</f>
        <v>-3400000</v>
      </c>
      <c r="D18" s="5">
        <f t="shared" ref="D18:I18" si="6">D8-D16</f>
        <v>-2800000</v>
      </c>
      <c r="E18" s="5">
        <f t="shared" si="6"/>
        <v>-2800000</v>
      </c>
      <c r="F18" s="5">
        <f t="shared" si="6"/>
        <v>-2800000</v>
      </c>
      <c r="G18" s="5">
        <f t="shared" si="6"/>
        <v>-2800000</v>
      </c>
      <c r="H18" s="5">
        <f t="shared" si="6"/>
        <v>-2800000</v>
      </c>
      <c r="I18" s="5">
        <f t="shared" si="6"/>
        <v>-100000</v>
      </c>
      <c r="J18" s="5">
        <f t="shared" ref="J18" si="7">J8-J16</f>
        <v>25375000</v>
      </c>
      <c r="K18" s="5"/>
      <c r="M18" s="1" t="s">
        <v>55</v>
      </c>
      <c r="N18" s="1">
        <v>600000</v>
      </c>
      <c r="O18" s="1"/>
    </row>
    <row r="19" spans="2:15" x14ac:dyDescent="0.25">
      <c r="M19" s="1" t="s">
        <v>32</v>
      </c>
      <c r="N19" s="1">
        <v>0</v>
      </c>
    </row>
    <row r="20" spans="2:15" x14ac:dyDescent="0.25">
      <c r="B20" s="5" t="s">
        <v>16</v>
      </c>
      <c r="C20" s="5">
        <f>K16</f>
        <v>17500000</v>
      </c>
      <c r="M20" s="1" t="s">
        <v>10</v>
      </c>
    </row>
    <row r="21" spans="2:15" ht="15.75" thickBot="1" x14ac:dyDescent="0.3">
      <c r="B21" s="5" t="s">
        <v>18</v>
      </c>
      <c r="C21" s="6">
        <v>0.45</v>
      </c>
      <c r="M21" s="8" t="s">
        <v>34</v>
      </c>
      <c r="N21" s="8">
        <f>SUM(N18:N20)</f>
        <v>600000</v>
      </c>
    </row>
    <row r="22" spans="2:15" ht="15.75" thickTop="1" x14ac:dyDescent="0.25">
      <c r="B22" s="5" t="s">
        <v>17</v>
      </c>
      <c r="C22" s="5">
        <f>C20*(1+C21)</f>
        <v>25375000</v>
      </c>
    </row>
    <row r="23" spans="2:15" x14ac:dyDescent="0.25">
      <c r="B23" s="5" t="s">
        <v>14</v>
      </c>
      <c r="C23" s="7">
        <f>8/100</f>
        <v>0.08</v>
      </c>
      <c r="D23" s="2"/>
    </row>
    <row r="24" spans="2:15" x14ac:dyDescent="0.25">
      <c r="B24" s="5" t="s">
        <v>15</v>
      </c>
      <c r="C24" s="9">
        <f>NPV(C23,C18:J18)</f>
        <v>151355.29006453644</v>
      </c>
      <c r="D24" s="1" t="str">
        <f>IF(C24&gt;0,"==&gt; Proyecto viable","==&gt; Proyecto no viable")</f>
        <v>==&gt; Proyecto viable</v>
      </c>
    </row>
    <row r="25" spans="2:15" x14ac:dyDescent="0.25">
      <c r="B25" s="4"/>
      <c r="C25" s="3"/>
      <c r="D25" s="3"/>
    </row>
  </sheetData>
  <mergeCells count="6">
    <mergeCell ref="M17:N17"/>
    <mergeCell ref="M2:N2"/>
    <mergeCell ref="B3:K3"/>
    <mergeCell ref="B10:K10"/>
    <mergeCell ref="M4:N4"/>
    <mergeCell ref="M11:N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Contexto</vt:lpstr>
      <vt:lpstr>Proyecto con subscripción</vt:lpstr>
      <vt:lpstr>Proyecto llave en 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Julio Díaz Rojo</cp:lastModifiedBy>
  <dcterms:created xsi:type="dcterms:W3CDTF">2025-11-22T13:51:50Z</dcterms:created>
  <dcterms:modified xsi:type="dcterms:W3CDTF">2025-12-09T05:39:06Z</dcterms:modified>
</cp:coreProperties>
</file>