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FF6D300F-F82A-45A8-A904-6BE44C722B08}" xr6:coauthVersionLast="36" xr6:coauthVersionMax="47" xr10:uidLastSave="{00000000-0000-0000-0000-000000000000}"/>
  <bookViews>
    <workbookView xWindow="0" yWindow="0" windowWidth="21570" windowHeight="789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 i="1" l="1"/>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G18" i="1"/>
  <c r="J16" i="1"/>
  <c r="K16" i="1" s="1"/>
  <c r="I16" i="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<sst xmlns="http://schemas.openxmlformats.org/spreadsheetml/2006/main" count="165" uniqueCount="97">
  <si>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</si>
  <si>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</si>
  <si>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</si>
  <si>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</si>
  <si>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</si>
  <si>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</si>
  <si>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</si>
  <si>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</si>
  <si>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</si>
  <si>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</si>
  <si>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</si>
  <si>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</si>
  <si>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</si>
  <si>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</si>
  <si>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</si>
  <si>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</si>
  <si>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</si>
  <si>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</si>
  <si>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</si>
  <si>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</si>
  <si>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</si>
  <si>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</si>
  <si>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</si>
  <si>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</si>
  <si>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</si>
  <si>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</si>
  <si>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</si>
  <si>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</si>
  <si>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</si>
  <si>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</si>
  <si>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</si>
  <si>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</si>
  <si>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</si>
  <si>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</si>
  <si>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</si>
  <si>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</si>
  <si>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</si>
  <si>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</si>
  <si>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</si>
  <si>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</si>
  <si>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</si>
  <si>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</si>
  <si>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</si>
  <si>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</si>
  <si>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</si>
  <si>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</si>
  <si>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</si>
  <si>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</si>
  <si>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</si>
  <si>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</si>
  <si>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</si>
  <si>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</si>
  <si>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</si>
  <si>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</si>
  <si>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</si>
  <si>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</si>
  <si>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</si>
  <si>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</si>
  <si>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</si>
  <si>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</si>
  <si>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</si>
  <si>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</si>
  <si>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</si>
  <si>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</si>
  <si>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</si>
  <si>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</si>
  <si>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</si>
  <si>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</si>
  <si>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</si>
  <si>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</si>
  <si>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</si>
  <si>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</si>
  <si>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</si>
  <si>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</si>
  <si>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</si>
  <si>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</si>
  <si>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</si>
  <si>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</si>
  <si>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</si>
  <si>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</si>
  <si>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</si>
  <si>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</si>
  <si>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</si>
  <si>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</si>
  <si>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</si>
  <si>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</si>
  <si>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</si>
  <si>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</si>
  <si>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</si>
  <si>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</si>
  <si>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</si>
  <si>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</si>
  <si>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</si>
  <si>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</si>
  <si>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</si>
  <si>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</si>
  <si>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DIAZ ROJO 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</si>
</sst>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13" fillId="9" borderId="1" xfId="0" applyFont="1" applyFill="1" applyBorder="1"/>
    <xf numFmtId="0" fontId="13" fillId="0" borderId="1" xfId="0" applyFont="1" applyBorder="1"/>
    <xf numFmtId="0" fontId="13"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21" sqref="E2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2">
        <v>1</v>
      </c>
    </row>
    <row r="3" spans="1:11" x14ac:dyDescent="0.25">
      <c r="B3" s="3" t="s">
        <v>0</v>
      </c>
      <c r="C3" s="4" t="s">
        <v>1</v>
      </c>
      <c r="D3" s="2" t="s">
        <v>2</v>
      </c>
      <c r="E3" s="49"/>
    </row>
    <row r="4" spans="1:11" x14ac:dyDescent="0.25">
      <c r="A4" s="5">
        <v>1</v>
      </c>
      <c r="B4" s="80" t="s">
        <v>96</v>
      </c>
      <c r="C4" s="6">
        <f>EVALUACION1!$C$24</f>
        <v>5.9</v>
      </c>
      <c r="D4" s="6">
        <f>$C$35</f>
        <v>6</v>
      </c>
      <c r="E4" s="42">
        <f>C4*C$2+D4*D$2</f>
        <v>5.9250000000000007</v>
      </c>
      <c r="G4" s="1"/>
    </row>
    <row r="5" spans="1:11" x14ac:dyDescent="0.25">
      <c r="A5" s="5">
        <v>2</v>
      </c>
      <c r="B5" s="78"/>
      <c r="C5" s="6">
        <f>EVALUACION1!$C$24</f>
        <v>5.9</v>
      </c>
      <c r="D5" s="6">
        <f>C47</f>
        <v>6</v>
      </c>
      <c r="E5" s="42">
        <f t="shared" ref="E5:E6" si="0">C5*C$2+D5*D$2</f>
        <v>5.9250000000000007</v>
      </c>
      <c r="G5" s="1"/>
    </row>
    <row r="6" spans="1:11" x14ac:dyDescent="0.25">
      <c r="A6" s="5">
        <v>3</v>
      </c>
      <c r="B6" s="79"/>
      <c r="C6" s="6">
        <f>EVALUACION1!$C$24</f>
        <v>5.9</v>
      </c>
      <c r="D6" s="6">
        <f>C58</f>
        <v>6</v>
      </c>
      <c r="E6" s="42">
        <f t="shared" si="0"/>
        <v>5.9250000000000007</v>
      </c>
      <c r="G6" s="1"/>
    </row>
    <row r="11" spans="1:11" ht="18.75" outlineLevel="1" x14ac:dyDescent="0.25">
      <c r="A11" s="63" t="s">
        <v>3</v>
      </c>
      <c r="B11" s="14"/>
      <c r="C11" s="56" t="s">
        <v>4</v>
      </c>
      <c r="D11" s="57" t="s">
        <v>5</v>
      </c>
      <c r="E11" s="58"/>
      <c r="F11" s="58"/>
      <c r="G11" s="58"/>
      <c r="H11" s="58"/>
      <c r="I11" s="58"/>
      <c r="J11" s="58"/>
      <c r="K11" s="59"/>
    </row>
    <row r="12" spans="1:11" outlineLevel="1" x14ac:dyDescent="0.25">
      <c r="A12" s="61"/>
      <c r="B12" s="24" t="s">
        <v>6</v>
      </c>
      <c r="C12" s="49"/>
      <c r="D12" s="57" t="s">
        <v>7</v>
      </c>
      <c r="E12" s="59"/>
      <c r="F12" s="57" t="s">
        <v>8</v>
      </c>
      <c r="G12" s="59"/>
      <c r="H12" s="57" t="s">
        <v>9</v>
      </c>
      <c r="I12" s="59"/>
      <c r="J12" s="57" t="s">
        <v>10</v>
      </c>
      <c r="K12" s="59"/>
    </row>
    <row r="13" spans="1:11" ht="24" outlineLevel="1" x14ac:dyDescent="0.25">
      <c r="A13" s="64"/>
      <c r="B13" s="34" t="str">
        <f>RUBRICA!A5</f>
        <v>1. Describe brevemente en qué consiste el Proyecto APT, justificando su relevancia para el campo laboral de su carrera.</v>
      </c>
      <c r="C13" s="32" t="s">
        <v>7</v>
      </c>
      <c r="D13" s="16" t="str">
        <f t="shared" ref="D13" si="1">IF($C13=CL,"X","")</f>
        <v>X</v>
      </c>
      <c r="E13" s="16">
        <f>IF(D13="X",100*0.1,"")</f>
        <v>10</v>
      </c>
      <c r="F13" s="16" t="str">
        <f t="shared" ref="F13" si="2">IF($C13=L,"X","")</f>
        <v/>
      </c>
      <c r="G13" s="16" t="str">
        <f>IF(F13="X",60*0.1,"")</f>
        <v/>
      </c>
      <c r="H13" s="16" t="str">
        <f t="shared" ref="H13:H15" si="3">IF($C13=ML,"X","")</f>
        <v/>
      </c>
      <c r="I13" s="16" t="str">
        <f>IF(H13="X",30*0.1,"")</f>
        <v/>
      </c>
      <c r="J13" s="16" t="str">
        <f t="shared" ref="J13:J16" si="4">IF($C13=NL,"X","")</f>
        <v/>
      </c>
      <c r="K13" s="16" t="str">
        <f t="shared" ref="K13:K16" si="5">IF($J13="X",0,"")</f>
        <v/>
      </c>
    </row>
    <row r="14" spans="1:11" ht="26.45" customHeight="1" outlineLevel="1" x14ac:dyDescent="0.25">
      <c r="A14" s="64"/>
      <c r="B14" s="34" t="str">
        <f>RUBRICA!A6</f>
        <v>2. Relaciona el Proyecto APT con las competencias del perfil de egreso de su Plan de Estudio.</v>
      </c>
      <c r="C14" s="32" t="s">
        <v>7</v>
      </c>
      <c r="D14" s="16"/>
      <c r="E14" s="16" t="str">
        <f t="shared" ref="E14" si="6">IF(D14="X",100*0.05,"")</f>
        <v/>
      </c>
      <c r="F14" s="16" t="s">
        <v>95</v>
      </c>
      <c r="G14" s="16">
        <f t="shared" ref="G14" si="7">IF(F14="X",60*0.05,"")</f>
        <v>3</v>
      </c>
      <c r="H14" s="16" t="str">
        <f t="shared" si="3"/>
        <v/>
      </c>
      <c r="I14" s="16" t="str">
        <f t="shared" ref="I14" si="8">IF(H14="X",30*0.05,"")</f>
        <v/>
      </c>
      <c r="J14" s="16" t="str">
        <f t="shared" si="4"/>
        <v/>
      </c>
      <c r="K14" s="16" t="str">
        <f t="shared" si="5"/>
        <v/>
      </c>
    </row>
    <row r="15" spans="1:11" ht="24" outlineLevel="1" x14ac:dyDescent="0.25">
      <c r="A15" s="64"/>
      <c r="B15" s="34" t="str">
        <f>RUBRICA!A8</f>
        <v xml:space="preserve">4.  Argumenta por qué el proyecto es factible de realizarse en el marco de la asignatura. </v>
      </c>
      <c r="C15" s="32" t="s">
        <v>7</v>
      </c>
      <c r="D15" s="16" t="s">
        <v>95</v>
      </c>
      <c r="E15" s="16">
        <f t="shared" ref="E15:E21" si="9">IF(D15="X",100*0.05,"")</f>
        <v>5</v>
      </c>
      <c r="F15" s="16"/>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4"/>
      <c r="B16" s="34" t="str">
        <f>RUBRICA!A9</f>
        <v xml:space="preserve">5. Formula objetivos claros, concisos y coherentes con la disciplina y la situación a abordar. </v>
      </c>
      <c r="C16" s="32" t="s">
        <v>7</v>
      </c>
      <c r="D16" s="16" t="s">
        <v>95</v>
      </c>
      <c r="E16" s="16">
        <f>IF(D16="X",100*0.05,"")</f>
        <v>5</v>
      </c>
      <c r="F16" s="16"/>
      <c r="G16" s="16" t="str">
        <f>IF(F16="X",60*0.05,"")</f>
        <v/>
      </c>
      <c r="H16" s="16"/>
      <c r="I16" s="16" t="str">
        <f>IF(H16="X",30*0.05,"")</f>
        <v/>
      </c>
      <c r="J16" s="16" t="str">
        <f t="shared" si="4"/>
        <v/>
      </c>
      <c r="K16" s="16" t="str">
        <f t="shared" si="5"/>
        <v/>
      </c>
    </row>
    <row r="17" spans="1:11" ht="24" outlineLevel="1" x14ac:dyDescent="0.25">
      <c r="A17" s="64"/>
      <c r="B17" s="34" t="str">
        <f>RUBRICA!A10</f>
        <v>6. Propone una metodología de trabajo que permite alcanzar los objetivos propuestos y es pertinente con los requerimientos disciplinares.</v>
      </c>
      <c r="C17" s="32" t="s">
        <v>7</v>
      </c>
      <c r="D17" s="16"/>
      <c r="E17" s="16" t="str">
        <f t="shared" ref="E17" si="12">IF(D17="X",100*0.1,"")</f>
        <v/>
      </c>
      <c r="F17" s="16" t="s">
        <v>95</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4"/>
      <c r="B18" s="34" t="str">
        <f>RUBRICA!A11</f>
        <v xml:space="preserve">7. Establece un plan de trabajo para su proyecto APT considerando los recursos, duración, facilitadores y obstaculizadores en el desarrollo de las actividades. </v>
      </c>
      <c r="C18" s="32" t="s">
        <v>7</v>
      </c>
      <c r="D18" s="16" t="s">
        <v>95</v>
      </c>
      <c r="E18" s="16">
        <f t="shared" ref="E18" si="18">IF(D18="X",100*0.1,"")</f>
        <v>10</v>
      </c>
      <c r="F18" s="16"/>
      <c r="G18" s="16" t="str">
        <f t="shared" ref="G18" si="19">IF(F18="X",60*0.1,"")</f>
        <v/>
      </c>
      <c r="H18" s="16" t="str">
        <f t="shared" si="14"/>
        <v/>
      </c>
      <c r="I18" s="16" t="str">
        <f t="shared" ref="I18" si="20">IF(H18="X",30*0.1,"")</f>
        <v/>
      </c>
      <c r="J18" s="16" t="str">
        <f t="shared" si="16"/>
        <v/>
      </c>
      <c r="K18" s="16" t="str">
        <f t="shared" si="17"/>
        <v/>
      </c>
    </row>
    <row r="19" spans="1:11" ht="24" outlineLevel="1" x14ac:dyDescent="0.25">
      <c r="A19" s="64"/>
      <c r="B19" s="34" t="str">
        <f>RUBRICA!A12</f>
        <v>8. Determina evidencias, justificando cómo estas dan cuenta del logro de las actividades del Proyecto APT.</v>
      </c>
      <c r="C19" s="32" t="s">
        <v>7</v>
      </c>
      <c r="D19" s="16"/>
      <c r="E19" s="16" t="str">
        <f>IF(D19="X",100*0.05,"")</f>
        <v/>
      </c>
      <c r="F19" s="16" t="s">
        <v>95</v>
      </c>
      <c r="G19" s="16">
        <f t="shared" ref="G19" si="21">IF(F19="X",60*0.05,"")</f>
        <v>3</v>
      </c>
      <c r="H19" s="16" t="str">
        <f t="shared" si="14"/>
        <v/>
      </c>
      <c r="I19" s="16" t="str">
        <f t="shared" ref="I19" si="22">IF(H19="X",30*0.05,"")</f>
        <v/>
      </c>
      <c r="J19" s="16" t="str">
        <f t="shared" si="16"/>
        <v/>
      </c>
      <c r="K19" s="16" t="str">
        <f t="shared" si="17"/>
        <v/>
      </c>
    </row>
    <row r="20" spans="1:11" ht="24" outlineLevel="1" x14ac:dyDescent="0.25">
      <c r="A20" s="64"/>
      <c r="B20" s="34" t="str">
        <f>RUBRICA!A13</f>
        <v xml:space="preserve">9. Utiliza reglas de redacción, ortografía (literal, puntual, acentual) y las normas para citas y referencias. </v>
      </c>
      <c r="C20" s="32" t="s">
        <v>7</v>
      </c>
      <c r="D20" s="16"/>
      <c r="E20" s="16" t="str">
        <f>IF(D20="X",100*0.05,"")</f>
        <v/>
      </c>
      <c r="F20" s="16" t="s">
        <v>95</v>
      </c>
      <c r="G20" s="16">
        <f t="shared" si="10"/>
        <v>3</v>
      </c>
      <c r="H20" s="16" t="str">
        <f t="shared" si="14"/>
        <v/>
      </c>
      <c r="I20" s="16" t="str">
        <f t="shared" si="11"/>
        <v/>
      </c>
      <c r="J20" s="16" t="str">
        <f t="shared" si="16"/>
        <v/>
      </c>
      <c r="K20" s="16" t="str">
        <f t="shared" si="17"/>
        <v/>
      </c>
    </row>
    <row r="21" spans="1:11" ht="22.9" customHeight="1" outlineLevel="1" x14ac:dyDescent="0.25">
      <c r="A21" s="64"/>
      <c r="B21" s="34" t="str">
        <f>RUBRICA!A14</f>
        <v>10. Cumple completando el contenido del informe de presentación del proyecto de acuerdo con la plantilla entregada.</v>
      </c>
      <c r="C21" s="32" t="s">
        <v>7</v>
      </c>
      <c r="D21" s="16" t="str">
        <f t="shared" ref="D18:D22" si="23">IF($C21=CL,"X","")</f>
        <v>X</v>
      </c>
      <c r="E21" s="16">
        <f t="shared" si="9"/>
        <v>5</v>
      </c>
      <c r="F21" s="16" t="str">
        <f t="shared" ref="F18:F22" si="24">IF($C21=L,"X","")</f>
        <v/>
      </c>
      <c r="G21" s="16" t="str">
        <f t="shared" si="10"/>
        <v/>
      </c>
      <c r="H21" s="16" t="str">
        <f t="shared" si="14"/>
        <v/>
      </c>
      <c r="I21" s="16" t="str">
        <f t="shared" si="11"/>
        <v/>
      </c>
      <c r="J21" s="16" t="str">
        <f t="shared" si="16"/>
        <v/>
      </c>
      <c r="K21" s="16" t="str">
        <f t="shared" si="17"/>
        <v/>
      </c>
    </row>
    <row r="22" spans="1:11" ht="36" outlineLevel="1" x14ac:dyDescent="0.25">
      <c r="A22" s="64"/>
      <c r="B22" s="34" t="str">
        <f>RUBRICA!A16</f>
        <v>12. Desarrolla un plan de trabajo que permita del logro de los objetivos propuestos del proyecto de 
acuerdo a los tiempos para su desarrollo</v>
      </c>
      <c r="C22" s="32" t="s">
        <v>7</v>
      </c>
      <c r="D22" s="16" t="str">
        <f t="shared" si="23"/>
        <v>X</v>
      </c>
      <c r="E22" s="16">
        <f>IF(D22="X",100*0.1,"")</f>
        <v>10</v>
      </c>
      <c r="F22" s="16" t="str">
        <f t="shared" si="24"/>
        <v/>
      </c>
      <c r="G22" s="16" t="str">
        <f>IF(F22="X",60*0.1,"")</f>
        <v/>
      </c>
      <c r="H22" s="16" t="str">
        <f t="shared" si="14"/>
        <v/>
      </c>
      <c r="I22" s="16" t="str">
        <f>IF(H22="X",30*0.1,"")</f>
        <v/>
      </c>
      <c r="J22" s="16" t="str">
        <f t="shared" si="16"/>
        <v/>
      </c>
      <c r="K22" s="16" t="str">
        <f t="shared" si="17"/>
        <v/>
      </c>
    </row>
    <row r="23" spans="1:11" ht="15.75" customHeight="1" outlineLevel="1" x14ac:dyDescent="0.3">
      <c r="A23" s="61"/>
      <c r="B23" s="33" t="s">
        <v>11</v>
      </c>
      <c r="C23" s="36">
        <f>E23+G23+I23+K23</f>
        <v>60</v>
      </c>
      <c r="D23" s="19"/>
      <c r="E23" s="19">
        <f>SUM(E13:E22)</f>
        <v>45</v>
      </c>
      <c r="F23" s="19"/>
      <c r="G23" s="19">
        <f>SUM(G13:G22)</f>
        <v>15</v>
      </c>
      <c r="H23" s="19"/>
      <c r="I23" s="19">
        <f>SUM(I13:I22)</f>
        <v>0</v>
      </c>
      <c r="J23" s="19"/>
      <c r="K23" s="19">
        <f>SUM(K13:K22)</f>
        <v>0</v>
      </c>
    </row>
    <row r="24" spans="1:11" ht="15.75" customHeight="1" outlineLevel="1" x14ac:dyDescent="0.3">
      <c r="A24" s="49"/>
      <c r="B24" s="35" t="s">
        <v>12</v>
      </c>
      <c r="C24" s="20">
        <f>VLOOKUP(C23,ESCALA_IEP!A2:B142,2,FALSE)</f>
        <v>5.9</v>
      </c>
    </row>
    <row r="25" spans="1:11" ht="15.75" customHeight="1" x14ac:dyDescent="0.25"/>
    <row r="26" spans="1:11" ht="15.75" customHeight="1" x14ac:dyDescent="0.25"/>
    <row r="27" spans="1:11" ht="15.75" customHeight="1" x14ac:dyDescent="0.25">
      <c r="A27" s="60" t="s">
        <v>13</v>
      </c>
      <c r="B27" s="48" t="s">
        <v>14</v>
      </c>
      <c r="C27" s="50" t="str">
        <f>$B$4</f>
        <v>DIAZ ROJO JULIO</v>
      </c>
      <c r="D27" s="51"/>
      <c r="E27" s="51"/>
      <c r="F27" s="51"/>
      <c r="G27" s="51"/>
      <c r="H27" s="51"/>
      <c r="I27" s="51"/>
      <c r="J27" s="51"/>
      <c r="K27" s="52"/>
    </row>
    <row r="28" spans="1:11" ht="15.75" customHeight="1" x14ac:dyDescent="0.25">
      <c r="A28" s="61"/>
      <c r="B28" s="49"/>
      <c r="C28" s="53"/>
      <c r="D28" s="54"/>
      <c r="E28" s="54"/>
      <c r="F28" s="54"/>
      <c r="G28" s="54"/>
      <c r="H28" s="54"/>
      <c r="I28" s="54"/>
      <c r="J28" s="54"/>
      <c r="K28" s="55"/>
    </row>
    <row r="29" spans="1:11" ht="15.75" customHeight="1" x14ac:dyDescent="0.25">
      <c r="A29" s="61"/>
      <c r="B29" s="14" t="s">
        <v>15</v>
      </c>
      <c r="C29" s="56" t="s">
        <v>4</v>
      </c>
      <c r="D29" s="57" t="s">
        <v>5</v>
      </c>
      <c r="E29" s="58"/>
      <c r="F29" s="58"/>
      <c r="G29" s="58"/>
      <c r="H29" s="58"/>
      <c r="I29" s="58"/>
      <c r="J29" s="58"/>
      <c r="K29" s="59"/>
    </row>
    <row r="30" spans="1:11" ht="15.75" customHeight="1" x14ac:dyDescent="0.25">
      <c r="A30" s="61"/>
      <c r="B30" s="15" t="s">
        <v>6</v>
      </c>
      <c r="C30" s="49"/>
      <c r="D30" s="57" t="s">
        <v>7</v>
      </c>
      <c r="E30" s="59"/>
      <c r="F30" s="57" t="s">
        <v>8</v>
      </c>
      <c r="G30" s="59"/>
      <c r="H30" s="57" t="s">
        <v>16</v>
      </c>
      <c r="I30" s="59"/>
      <c r="J30" s="57" t="s">
        <v>10</v>
      </c>
      <c r="K30" s="59"/>
    </row>
    <row r="31" spans="1:11" ht="24.6" customHeight="1" x14ac:dyDescent="0.25">
      <c r="A31" s="61"/>
      <c r="B31" s="34" t="str">
        <f>RUBRICA!A7</f>
        <v>3. Relaciona el Proyecto APT con sus intereses profesionales. *</v>
      </c>
      <c r="C31" s="32" t="s">
        <v>7</v>
      </c>
      <c r="D31" s="16" t="str">
        <f t="shared" ref="D31" si="25">IF($C31=CL,"X","")</f>
        <v>X</v>
      </c>
      <c r="E31" s="16">
        <f>IF(D31="X",100*0.1,"")</f>
        <v>10</v>
      </c>
      <c r="F31" s="16" t="str">
        <f t="shared" ref="F31"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4" t="str">
        <f>RUBRICA!A15</f>
        <v>11. Expone el tema utilizando un lenguaje técnico disciplinar al presentar la propuesta y responde evidenciando un manejo de la información. *</v>
      </c>
      <c r="C32" s="32" t="s">
        <v>7</v>
      </c>
      <c r="D32" s="16"/>
      <c r="E32" s="16" t="str">
        <f>IF(D32="X",100*0.1,"")</f>
        <v/>
      </c>
      <c r="F32" s="16" t="s">
        <v>95</v>
      </c>
      <c r="G32" s="16">
        <f>IF(F32="X",60*0.1,"")</f>
        <v>6</v>
      </c>
      <c r="H32" s="16" t="str">
        <f t="shared" si="27"/>
        <v/>
      </c>
      <c r="I32" s="16" t="str">
        <f>IF(H32="X",30*0.1,"")</f>
        <v/>
      </c>
      <c r="J32" s="16" t="str">
        <f t="shared" si="28"/>
        <v/>
      </c>
      <c r="K32" s="16" t="str">
        <f t="shared" si="29"/>
        <v/>
      </c>
    </row>
    <row r="33" spans="1:11" x14ac:dyDescent="0.25">
      <c r="A33" s="6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49"/>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8" t="s">
        <v>14</v>
      </c>
      <c r="C39" s="50">
        <f>B5</f>
        <v>0</v>
      </c>
      <c r="D39" s="51"/>
      <c r="E39" s="51"/>
      <c r="F39" s="51"/>
      <c r="G39" s="51"/>
      <c r="H39" s="51"/>
      <c r="I39" s="51"/>
      <c r="J39" s="51"/>
      <c r="K39" s="52"/>
    </row>
    <row r="40" spans="1:11" ht="15.75" customHeight="1" x14ac:dyDescent="0.25">
      <c r="A40" s="61"/>
      <c r="B40" s="49"/>
      <c r="C40" s="53"/>
      <c r="D40" s="54"/>
      <c r="E40" s="54"/>
      <c r="F40" s="54"/>
      <c r="G40" s="54"/>
      <c r="H40" s="54"/>
      <c r="I40" s="54"/>
      <c r="J40" s="54"/>
      <c r="K40" s="55"/>
    </row>
    <row r="41" spans="1:11" ht="15.75" customHeight="1" x14ac:dyDescent="0.25">
      <c r="A41" s="61"/>
      <c r="B41" s="14" t="s">
        <v>15</v>
      </c>
      <c r="C41" s="56" t="s">
        <v>4</v>
      </c>
      <c r="D41" s="57" t="s">
        <v>5</v>
      </c>
      <c r="E41" s="58"/>
      <c r="F41" s="58"/>
      <c r="G41" s="58"/>
      <c r="H41" s="58"/>
      <c r="I41" s="58"/>
      <c r="J41" s="58"/>
      <c r="K41" s="59"/>
    </row>
    <row r="42" spans="1:11" ht="15.75" customHeight="1" x14ac:dyDescent="0.25">
      <c r="A42" s="61"/>
      <c r="B42" s="15" t="s">
        <v>6</v>
      </c>
      <c r="C42" s="49"/>
      <c r="D42" s="57" t="s">
        <v>7</v>
      </c>
      <c r="E42" s="59"/>
      <c r="F42" s="57" t="s">
        <v>8</v>
      </c>
      <c r="G42" s="59"/>
      <c r="H42" s="57" t="s">
        <v>16</v>
      </c>
      <c r="I42" s="59"/>
      <c r="J42" s="57" t="s">
        <v>10</v>
      </c>
      <c r="K42" s="59"/>
    </row>
    <row r="43" spans="1:11" ht="25.9" customHeight="1" x14ac:dyDescent="0.25">
      <c r="A43" s="61"/>
      <c r="B43" s="34" t="str">
        <f>RUBRICA!A7</f>
        <v>3. Relaciona el Proyecto APT con sus intereses profesionales. *</v>
      </c>
      <c r="C43" s="32" t="s">
        <v>7</v>
      </c>
      <c r="D43" s="16" t="str">
        <f t="shared" ref="D43" si="31">IF($C43=CL,"X","")</f>
        <v>X</v>
      </c>
      <c r="E43" s="16">
        <f>IF(D43="X",100*0.1,"")</f>
        <v>10</v>
      </c>
      <c r="F43" s="16" t="str">
        <f t="shared" ref="F43"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4" t="str">
        <f>RUBRICA!A15</f>
        <v>11. Expone el tema utilizando un lenguaje técnico disciplinar al presentar la propuesta y responde evidenciando un manejo de la información. *</v>
      </c>
      <c r="C44" s="32" t="s">
        <v>7</v>
      </c>
      <c r="D44" s="16"/>
      <c r="E44" s="16" t="str">
        <f>IF(D44="X",100*0.1,"")</f>
        <v/>
      </c>
      <c r="F44" s="16" t="s">
        <v>95</v>
      </c>
      <c r="G44" s="16">
        <f>IF(F44="X",60*0.1,"")</f>
        <v>6</v>
      </c>
      <c r="H44" s="16" t="str">
        <f t="shared" si="33"/>
        <v/>
      </c>
      <c r="I44" s="16" t="str">
        <f>IF(H44="X",30*0.1,"")</f>
        <v/>
      </c>
      <c r="J44" s="16" t="str">
        <f t="shared" si="34"/>
        <v/>
      </c>
      <c r="K44" s="16" t="str">
        <f t="shared" si="35"/>
        <v/>
      </c>
    </row>
    <row r="45" spans="1:11" ht="15.75" customHeight="1" x14ac:dyDescent="0.25">
      <c r="A45" s="6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49"/>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0" t="s">
        <v>13</v>
      </c>
      <c r="B50" s="48" t="s">
        <v>14</v>
      </c>
      <c r="C50" s="50">
        <f>B6</f>
        <v>0</v>
      </c>
      <c r="D50" s="51"/>
      <c r="E50" s="51"/>
      <c r="F50" s="51"/>
      <c r="G50" s="51"/>
      <c r="H50" s="51"/>
      <c r="I50" s="51"/>
      <c r="J50" s="51"/>
      <c r="K50" s="52"/>
    </row>
    <row r="51" spans="1:11" ht="15.75" customHeight="1" x14ac:dyDescent="0.25">
      <c r="A51" s="61"/>
      <c r="B51" s="49"/>
      <c r="C51" s="53"/>
      <c r="D51" s="54"/>
      <c r="E51" s="54"/>
      <c r="F51" s="54"/>
      <c r="G51" s="54"/>
      <c r="H51" s="54"/>
      <c r="I51" s="54"/>
      <c r="J51" s="54"/>
      <c r="K51" s="55"/>
    </row>
    <row r="52" spans="1:11" ht="15.75" customHeight="1" x14ac:dyDescent="0.25">
      <c r="A52" s="61"/>
      <c r="B52" s="14" t="s">
        <v>15</v>
      </c>
      <c r="C52" s="56" t="s">
        <v>4</v>
      </c>
      <c r="D52" s="57" t="s">
        <v>5</v>
      </c>
      <c r="E52" s="58"/>
      <c r="F52" s="58"/>
      <c r="G52" s="58"/>
      <c r="H52" s="58"/>
      <c r="I52" s="58"/>
      <c r="J52" s="58"/>
      <c r="K52" s="59"/>
    </row>
    <row r="53" spans="1:11" ht="15.75" customHeight="1" x14ac:dyDescent="0.25">
      <c r="A53" s="61"/>
      <c r="B53" s="15" t="s">
        <v>6</v>
      </c>
      <c r="C53" s="49"/>
      <c r="D53" s="57" t="s">
        <v>7</v>
      </c>
      <c r="E53" s="59"/>
      <c r="F53" s="57" t="s">
        <v>8</v>
      </c>
      <c r="G53" s="59"/>
      <c r="H53" s="57" t="s">
        <v>16</v>
      </c>
      <c r="I53" s="59"/>
      <c r="J53" s="57" t="s">
        <v>10</v>
      </c>
      <c r="K53" s="59"/>
    </row>
    <row r="54" spans="1:11" ht="25.9" customHeight="1" x14ac:dyDescent="0.25">
      <c r="A54" s="61"/>
      <c r="B54" s="34" t="str">
        <f>RUBRICA!A7</f>
        <v>3. Relaciona el Proyecto APT con sus intereses profesionales. *</v>
      </c>
      <c r="C54" s="32" t="s">
        <v>7</v>
      </c>
      <c r="D54" s="16" t="str">
        <f t="shared" ref="D54" si="39">IF($C54=CL,"X","")</f>
        <v>X</v>
      </c>
      <c r="E54" s="16">
        <f>IF(D54="X",100*0.1,"")</f>
        <v>10</v>
      </c>
      <c r="F54" s="16" t="str">
        <f t="shared" ref="F54"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4" t="str">
        <f>RUBRICA!A15</f>
        <v>11. Expone el tema utilizando un lenguaje técnico disciplinar al presentar la propuesta y responde evidenciando un manejo de la información. *</v>
      </c>
      <c r="C55" s="32" t="s">
        <v>7</v>
      </c>
      <c r="D55" s="16"/>
      <c r="E55" s="16" t="str">
        <f>IF(D55="X",100*0.1,"")</f>
        <v/>
      </c>
      <c r="F55" s="16" t="s">
        <v>95</v>
      </c>
      <c r="G55" s="16">
        <f>IF(F55="X",60*0.1,"")</f>
        <v>6</v>
      </c>
      <c r="H55" s="16" t="str">
        <f t="shared" si="41"/>
        <v/>
      </c>
      <c r="I55" s="16" t="str">
        <f>IF(H55="X",30*0.1,"")</f>
        <v/>
      </c>
      <c r="J55" s="16" t="str">
        <f t="shared" si="42"/>
        <v/>
      </c>
      <c r="K55" s="16" t="str">
        <f t="shared" si="43"/>
        <v/>
      </c>
    </row>
    <row r="56" spans="1:11" ht="15.75" customHeight="1" x14ac:dyDescent="0.25">
      <c r="A56" s="6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49"/>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8" t="s">
        <v>18</v>
      </c>
      <c r="B2" s="71" t="s">
        <v>19</v>
      </c>
      <c r="C2" s="72"/>
      <c r="D2" s="72"/>
      <c r="E2" s="73"/>
      <c r="F2" s="68" t="s">
        <v>20</v>
      </c>
    </row>
    <row r="3" spans="1:6" x14ac:dyDescent="0.25">
      <c r="A3" s="69"/>
      <c r="B3" s="74" t="s">
        <v>21</v>
      </c>
      <c r="C3" s="74" t="s">
        <v>22</v>
      </c>
      <c r="D3" s="25" t="s">
        <v>23</v>
      </c>
      <c r="E3" s="27" t="s">
        <v>10</v>
      </c>
      <c r="F3" s="69"/>
    </row>
    <row r="4" spans="1:6" ht="57.6" customHeight="1" thickBot="1" x14ac:dyDescent="0.3">
      <c r="A4" s="70"/>
      <c r="B4" s="75"/>
      <c r="C4" s="75"/>
      <c r="D4" s="26">
        <v>-0.3</v>
      </c>
      <c r="E4" s="26">
        <v>0</v>
      </c>
      <c r="F4" s="70"/>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6" t="s">
        <v>92</v>
      </c>
      <c r="B1" s="7" t="s">
        <v>11</v>
      </c>
      <c r="C1" s="8"/>
      <c r="D1" s="8"/>
      <c r="E1" s="9"/>
    </row>
    <row r="2" spans="1:5" ht="45.75" thickBot="1" x14ac:dyDescent="0.3">
      <c r="A2" s="77"/>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2025-09-26T19:20:27Z</dcterms:modified>
  <cp:category/>
  <cp:contentStatus/>
</cp:coreProperties>
</file>