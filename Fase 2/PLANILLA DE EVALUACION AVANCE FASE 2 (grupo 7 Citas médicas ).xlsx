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
    </mc:Choice>
  </mc:AlternateContent>
  <xr:revisionPtr revIDLastSave="0" documentId="8_{40495E82-4D3F-4207-85CD-EF47B890B2D3}" xr6:coauthVersionLast="36" xr6:coauthVersionMax="36" xr10:uidLastSave="{00000000-0000-0000-0000-000000000000}"/>
  <bookViews>
    <workbookView xWindow="0" yWindow="0" windowWidth="28800" windowHeight="970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1" l="1"/>
  <c r="E13" i="1" l="1"/>
  <c r="G13" i="1"/>
  <c r="I13" i="1"/>
  <c r="J13" i="1"/>
  <c r="K13" i="1" s="1"/>
  <c r="B14" i="1"/>
  <c r="B15" i="1"/>
  <c r="B16" i="1"/>
  <c r="B17" i="1"/>
  <c r="B18" i="1"/>
  <c r="B19" i="1"/>
  <c r="B20" i="1"/>
  <c r="B13" i="1"/>
  <c r="E14" i="1" l="1"/>
  <c r="D16" i="1"/>
  <c r="E16" i="1" s="1"/>
  <c r="E17" i="1"/>
  <c r="E18" i="1"/>
  <c r="E19" i="1"/>
  <c r="F20" i="1"/>
  <c r="G20" i="1" s="1"/>
  <c r="G17" i="1" l="1"/>
  <c r="H17" i="1"/>
  <c r="I17" i="1" s="1"/>
  <c r="J17" i="1"/>
  <c r="K17" i="1" s="1"/>
  <c r="J20" i="1"/>
  <c r="K20" i="1" s="1"/>
  <c r="H20" i="1"/>
  <c r="I20" i="1" s="1"/>
  <c r="D20" i="1"/>
  <c r="E20" i="1" s="1"/>
  <c r="J19" i="1"/>
  <c r="K19" i="1" s="1"/>
  <c r="H19" i="1"/>
  <c r="I19" i="1" s="1"/>
  <c r="G19" i="1"/>
  <c r="J18" i="1"/>
  <c r="K18" i="1" s="1"/>
  <c r="I18" i="1"/>
  <c r="G18" i="1"/>
  <c r="J16" i="1"/>
  <c r="K16" i="1" s="1"/>
  <c r="H16" i="1"/>
  <c r="I16" i="1" s="1"/>
  <c r="F16" i="1"/>
  <c r="G16" i="1" s="1"/>
  <c r="J15" i="1"/>
  <c r="K15" i="1" s="1"/>
  <c r="I15" i="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<sst xmlns="http://schemas.openxmlformats.org/spreadsheetml/2006/main" count="89" uniqueCount="65">
  <si>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</si>
  <si>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</si>
  <si>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</si>
  <si>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</si>
  <si>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</si>
  <si>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</si>
  <si>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</si>
  <si>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</si>
  <si>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</si>
  <si>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</si>
  <si>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</si>
  <si>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</si>
  <si>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</si>
  <si>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</si>
  <si>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</si>
  <si>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</si>
  <si>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</si>
  <si>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</si>
  <si>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</si>
  <si>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</si>
  <si>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</si>
  <si>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</si>
  <si>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</si>
  <si>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</si>
  <si>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</si>
  <si>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</si>
  <si>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</si>
  <si>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</si>
  <si>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</si>
  <si>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</si>
  <si>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</si>
  <si>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</si>
  <si>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</si>
  <si>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</si>
  <si>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</si>
  <si>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</si>
  <si>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</si>
  <si>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</si>
  <si>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</si>
  <si>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</si>
  <si>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</si>
  <si>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</si>
  <si>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</si>
  <si>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</si>
  <si>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</si>
  <si>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</si>
  <si>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</si>
  <si>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</si>
  <si>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</si>
  <si>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</si>
  <si>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</si>
  <si>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</si>
  <si>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</si>
  <si>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</si>
  <si>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</si>
  <si>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</si>
  <si>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</si>
  <si>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</si>
  <si>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</si>
  <si>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</si>
  <si>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</si>
  <si>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</si>
  <si>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</si>
  <si>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DIAZ ROJO JULIO</t>
  </si>
  <si>
    <t>Creo que falta harto trabajo Julio, poco avance, haz tenido harto tiempo disponible para desarrollar pero no lo haz hecho, eso va encontra del proceso, esperemos que te pongas las pilas estas últimas 2 semanas y que te puedas presentar a la defensa. Falta toda la documentación del proyecto, toda la documentación de la fase 2,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</si>
</sst>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9">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rgb="FF000000"/>
      </patternFill>
    </fill>
    <fill>
      <patternFill patternType="solid">
        <fgColor rgb="FFFFFF0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0" fillId="8" borderId="0" xfId="0" applyFill="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4" fillId="7" borderId="1" xfId="0" applyFont="1" applyFill="1" applyBorder="1"/>
    <xf numFmtId="0" fontId="14" fillId="0" borderId="1" xfId="0" applyFont="1" applyBorder="1"/>
    <xf numFmtId="0" fontId="14" fillId="0" borderId="0" xfId="0" applyFo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E20" sqref="E20"/>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63" t="s">
        <v>63</v>
      </c>
      <c r="C4" s="5">
        <f>EVALUACION2!$C$22</f>
        <v>4</v>
      </c>
      <c r="G4" s="1"/>
    </row>
    <row r="5" spans="1:11">
      <c r="A5" s="4">
        <v>2</v>
      </c>
      <c r="B5" s="61"/>
      <c r="C5" s="5">
        <f>EVALUACION2!$C$22</f>
        <v>4</v>
      </c>
      <c r="G5" s="1"/>
    </row>
    <row r="6" spans="1:11">
      <c r="A6" s="4">
        <v>3</v>
      </c>
      <c r="B6" s="62"/>
      <c r="C6" s="5">
        <f>EVALUACION2!$C$22</f>
        <v>4</v>
      </c>
      <c r="G6" s="1"/>
    </row>
    <row r="8" spans="1:11" ht="75">
      <c r="B8" s="41" t="s">
        <v>64</v>
      </c>
    </row>
    <row r="11" spans="1:11" ht="18.75" outlineLevel="1">
      <c r="A11" s="42" t="s">
        <v>9</v>
      </c>
      <c r="B11" s="14"/>
      <c r="C11" s="46" t="s">
        <v>10</v>
      </c>
      <c r="D11" s="47" t="s">
        <v>11</v>
      </c>
      <c r="E11" s="49"/>
      <c r="F11" s="49"/>
      <c r="G11" s="49"/>
      <c r="H11" s="49"/>
      <c r="I11" s="49"/>
      <c r="J11" s="49"/>
      <c r="K11" s="48"/>
    </row>
    <row r="12" spans="1:11" outlineLevel="1">
      <c r="A12" s="43"/>
      <c r="B12" s="20" t="s">
        <v>12</v>
      </c>
      <c r="C12" s="45"/>
      <c r="D12" s="47" t="s">
        <v>5</v>
      </c>
      <c r="E12" s="48"/>
      <c r="F12" s="47" t="s">
        <v>6</v>
      </c>
      <c r="G12" s="48"/>
      <c r="H12" s="50" t="s">
        <v>23</v>
      </c>
      <c r="I12" s="48"/>
      <c r="J12" s="47" t="s">
        <v>7</v>
      </c>
      <c r="K12" s="48"/>
    </row>
    <row r="13" spans="1:11" ht="24" outlineLevel="1">
      <c r="A13" s="44"/>
      <c r="B13" s="27" t="str">
        <f>RUBRICA!A4</f>
        <v xml:space="preserve">1. Propone ajustes al Proyecto APT considerando dificultades, facilitadores y retroalimentación. </v>
      </c>
      <c r="C13" s="25" t="s">
        <v>5</v>
      </c>
      <c r="D13" s="15"/>
      <c r="E13" s="15" t="str">
        <f>IF(D13="X",100*0.1,"")</f>
        <v/>
      </c>
      <c r="F13" s="15"/>
      <c r="G13" s="15" t="str">
        <f>IF(F13="X",60*0.1,"")</f>
        <v/>
      </c>
      <c r="H13" s="15" t="s">
        <v>41</v>
      </c>
      <c r="I13" s="15">
        <f>IF(H13="X",30*0.1,"")</f>
        <v>3</v>
      </c>
      <c r="J13" s="15" t="str">
        <f t="shared" ref="J13:J17" si="0">IF($C13=NL,"X","")</f>
        <v/>
      </c>
      <c r="K13" s="15" t="str">
        <f t="shared" ref="K13:K17" si="1">IF($J13="X",0,"")</f>
        <v/>
      </c>
    </row>
    <row r="14" spans="1:11" ht="26.45" customHeight="1" outlineLevel="1">
      <c r="A14" s="44"/>
      <c r="B14" s="27" t="str">
        <f>RUBRICA!A5</f>
        <v>2. Aplica una metodología que permite el logro de los objetivos propuestos, de acuerdo a los estándares de la disciplina.</v>
      </c>
      <c r="C14" s="25" t="s">
        <v>5</v>
      </c>
      <c r="D14" s="15"/>
      <c r="E14" s="15" t="str">
        <f>IF(D14="X",100*0.1,"")</f>
        <v/>
      </c>
      <c r="F14" s="15" t="s">
        <v>41</v>
      </c>
      <c r="G14" s="15">
        <f>IF(F14="X",60*0.1,"")</f>
        <v>6</v>
      </c>
      <c r="H14" s="15" t="str">
        <f t="shared" ref="H13:H17" si="2">IF($C14=ML,"X","")</f>
        <v/>
      </c>
      <c r="I14" s="15" t="str">
        <f>IF(H14="X",30*0.1,"")</f>
        <v/>
      </c>
      <c r="J14" s="15" t="str">
        <f t="shared" si="0"/>
        <v/>
      </c>
      <c r="K14" s="15" t="str">
        <f t="shared" si="1"/>
        <v/>
      </c>
    </row>
    <row r="15" spans="1:11" ht="48" outlineLevel="1">
      <c r="A15" s="44"/>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c r="E15" s="15" t="str">
        <f>IF(D15="X",100*0.25,"")</f>
        <v/>
      </c>
      <c r="F15" s="15" t="s">
        <v>41</v>
      </c>
      <c r="G15" s="15">
        <f>IF(F15="X",60*0.25,"")</f>
        <v>15</v>
      </c>
      <c r="H15" s="15"/>
      <c r="I15" s="15" t="str">
        <f>IF(H15="X",30*0.25,"")</f>
        <v/>
      </c>
      <c r="J15" s="15" t="str">
        <f t="shared" si="0"/>
        <v/>
      </c>
      <c r="K15" s="15" t="str">
        <f t="shared" si="1"/>
        <v/>
      </c>
    </row>
    <row r="16" spans="1:11" ht="24" outlineLevel="1">
      <c r="A16" s="44"/>
      <c r="B16" s="27" t="str">
        <f>RUBRICA!A7</f>
        <v>4. Utiliza de manera precisa el lenguaje técnico en los entregables de acuerdo con lo requerido por la disciplina.</v>
      </c>
      <c r="C16" s="25" t="s">
        <v>5</v>
      </c>
      <c r="D16" s="15" t="str">
        <f t="shared" ref="D16" si="3">IF($C16=CL,"X","")</f>
        <v>X</v>
      </c>
      <c r="E16" s="15">
        <f>IF(D16="X",100*0.05,"")</f>
        <v>5</v>
      </c>
      <c r="F16" s="15" t="str">
        <f t="shared" ref="F16" si="4">IF($C16=L,"X","")</f>
        <v/>
      </c>
      <c r="G16" s="15" t="str">
        <f>IF(F16="X",60*0.05,"")</f>
        <v/>
      </c>
      <c r="H16" s="15" t="str">
        <f t="shared" si="2"/>
        <v/>
      </c>
      <c r="I16" s="15" t="str">
        <f>IF(H16="X",30*0.05,"")</f>
        <v/>
      </c>
      <c r="J16" s="15" t="str">
        <f t="shared" si="0"/>
        <v/>
      </c>
      <c r="K16" s="15" t="str">
        <f t="shared" si="1"/>
        <v/>
      </c>
    </row>
    <row r="17" spans="1:11" ht="24" outlineLevel="1">
      <c r="A17" s="44"/>
      <c r="B17" s="27" t="str">
        <f>RUBRICA!A8</f>
        <v xml:space="preserve">5. Utiliza reglas de redacción, ortografía (literal, puntual, acentual) y las normas para citas y referencias. </v>
      </c>
      <c r="C17" s="25" t="s">
        <v>5</v>
      </c>
      <c r="D17" s="15" t="s">
        <v>41</v>
      </c>
      <c r="E17" s="15">
        <f>IF(D17="X",100*0.05,"")</f>
        <v>5</v>
      </c>
      <c r="F17" s="15"/>
      <c r="G17" s="15" t="str">
        <f>IF(F17="X",60*0.05,"")</f>
        <v/>
      </c>
      <c r="H17" s="15" t="str">
        <f t="shared" si="2"/>
        <v/>
      </c>
      <c r="I17" s="15" t="str">
        <f>IF(H17="X",30*0.05,"")</f>
        <v/>
      </c>
      <c r="J17" s="15" t="str">
        <f t="shared" si="0"/>
        <v/>
      </c>
      <c r="K17" s="15" t="str">
        <f t="shared" si="1"/>
        <v/>
      </c>
    </row>
    <row r="18" spans="1:11" ht="36" outlineLevel="1">
      <c r="A18" s="44"/>
      <c r="B18" s="27" t="str">
        <f>RUBRICA!A9</f>
        <v>6. Entrega la documentación y evidencias requerida por la asignatura de acuerdo a la estrucutra y nombres solicitados, guardando todas las evidencias de avances en Git</v>
      </c>
      <c r="C18" s="25" t="s">
        <v>5</v>
      </c>
      <c r="D18" s="15"/>
      <c r="E18" s="15" t="str">
        <f>IF(D18="X",100*0.2,"")</f>
        <v/>
      </c>
      <c r="F18" s="15"/>
      <c r="G18" s="15" t="str">
        <f>IF(F18="X",60*0.2,"")</f>
        <v/>
      </c>
      <c r="H18" s="15" t="s">
        <v>41</v>
      </c>
      <c r="I18" s="15">
        <f>IF(H18="X",30*0.2,"")</f>
        <v>6</v>
      </c>
      <c r="J18" s="15" t="str">
        <f>IF($C18=NL,"X","")</f>
        <v/>
      </c>
      <c r="K18" s="15" t="str">
        <f t="shared" ref="K18:K20" si="5">IF($J18="X",0,"")</f>
        <v/>
      </c>
    </row>
    <row r="19" spans="1:11" ht="36" outlineLevel="1">
      <c r="A19" s="44"/>
      <c r="B19" s="27" t="str">
        <f>RUBRICA!A10</f>
        <v>7.- Generan evidencias claras dentro del repositorio  del aporte de cada uno de los integrantes del equipo que permitan identificar la equidad en el trabajo y la participación de cada estudiante.</v>
      </c>
      <c r="C19" s="25" t="s">
        <v>5</v>
      </c>
      <c r="D19" s="15"/>
      <c r="E19" s="15" t="str">
        <f>IF(D19="X",100*0.15,"")</f>
        <v/>
      </c>
      <c r="F19" s="15" t="s">
        <v>41</v>
      </c>
      <c r="G19" s="15">
        <f>IF(F19="X",60*0.15,"")</f>
        <v>9</v>
      </c>
      <c r="H19" s="15" t="str">
        <f>IF($C19=ML,"X","")</f>
        <v/>
      </c>
      <c r="I19" s="15" t="str">
        <f>IF(H19="X",30*0.15,"")</f>
        <v/>
      </c>
      <c r="J19" s="15" t="str">
        <f>IF($C19=NL,"X","")</f>
        <v/>
      </c>
      <c r="K19" s="15" t="str">
        <f t="shared" si="5"/>
        <v/>
      </c>
    </row>
    <row r="20" spans="1:11" ht="36" outlineLevel="1">
      <c r="A20" s="44"/>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3"/>
      <c r="B21" s="26" t="s">
        <v>4</v>
      </c>
      <c r="C21" s="30">
        <f>E21+G21+I21+K21</f>
        <v>59</v>
      </c>
      <c r="D21" s="16"/>
      <c r="E21" s="16">
        <f>SUM(E13:E20)</f>
        <v>20</v>
      </c>
      <c r="F21" s="16"/>
      <c r="G21" s="16">
        <f>SUM(G13:G20)</f>
        <v>30</v>
      </c>
      <c r="H21" s="16"/>
      <c r="I21" s="16">
        <f>SUM(I13:I20)</f>
        <v>9</v>
      </c>
      <c r="J21" s="16"/>
      <c r="K21" s="16">
        <f>SUM(K13:K20)</f>
        <v>0</v>
      </c>
    </row>
    <row r="22" spans="1:11" ht="15.75" customHeight="1" outlineLevel="1">
      <c r="A22" s="45"/>
      <c r="B22" s="29" t="s">
        <v>13</v>
      </c>
      <c r="C22" s="17">
        <f>VLOOKUP(C21,ESCALA_IEP!A2:B202,2,FALSE)</f>
        <v>4</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1" t="s">
        <v>14</v>
      </c>
      <c r="B1" s="53" t="s">
        <v>15</v>
      </c>
      <c r="C1" s="54"/>
      <c r="D1" s="54"/>
      <c r="E1" s="55"/>
      <c r="F1" s="51" t="s">
        <v>16</v>
      </c>
    </row>
    <row r="2" spans="1:6">
      <c r="A2" s="52"/>
      <c r="B2" s="57" t="s">
        <v>25</v>
      </c>
      <c r="C2" s="57" t="s">
        <v>17</v>
      </c>
      <c r="D2" s="21" t="s">
        <v>18</v>
      </c>
      <c r="E2" s="22" t="s">
        <v>7</v>
      </c>
      <c r="F2" s="52"/>
    </row>
    <row r="3" spans="1:6" ht="15.75" thickBot="1">
      <c r="A3" s="52"/>
      <c r="B3" s="58"/>
      <c r="C3" s="58"/>
      <c r="D3" s="36">
        <v>-0.3</v>
      </c>
      <c r="E3" s="36">
        <v>0</v>
      </c>
      <c r="F3" s="56"/>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3</v>
      </c>
      <c r="B1" s="6" t="s">
        <v>4</v>
      </c>
      <c r="C1" s="7"/>
      <c r="D1" s="7"/>
      <c r="E1" s="8"/>
    </row>
    <row r="2" spans="1:5" ht="45.75" thickBot="1">
      <c r="A2" s="60"/>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cp:lastModifiedBy>
  <dcterms:created xsi:type="dcterms:W3CDTF">2023-08-07T04:08:01Z</dcterms:created>
  <dcterms:modified xsi:type="dcterms:W3CDTF">2025-11-14T18:55:09Z</dcterms:modified>
</cp:coreProperties>
</file>